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B45E973A-A3C8-4A5D-BAF7-F2E780890891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73" i="3" l="1"/>
  <c r="D373" i="3"/>
  <c r="B373" i="3"/>
  <c r="C373" i="3"/>
  <c r="J371" i="1"/>
  <c r="J370" i="1"/>
  <c r="J366" i="1"/>
  <c r="J362" i="1"/>
  <c r="J360" i="1"/>
  <c r="J359" i="1"/>
  <c r="J358" i="1"/>
  <c r="J357" i="1"/>
  <c r="J206" i="1"/>
  <c r="J200" i="1"/>
  <c r="J199" i="1"/>
  <c r="J192" i="1"/>
  <c r="J191" i="1"/>
  <c r="J190" i="1"/>
  <c r="J189" i="1"/>
  <c r="J187" i="1"/>
  <c r="J186" i="1"/>
  <c r="J185" i="1"/>
  <c r="J183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H359" i="1"/>
  <c r="H357" i="1"/>
  <c r="H356" i="1"/>
  <c r="H344" i="1"/>
  <c r="H338" i="1"/>
  <c r="H256" i="1"/>
  <c r="H255" i="1"/>
  <c r="H254" i="1"/>
  <c r="H192" i="1"/>
  <c r="H191" i="1"/>
  <c r="H190" i="1"/>
  <c r="H189" i="1"/>
  <c r="I189" i="1" s="1"/>
  <c r="H179" i="1"/>
  <c r="H178" i="1"/>
  <c r="H177" i="1"/>
  <c r="H176" i="1"/>
  <c r="H173" i="1"/>
  <c r="H172" i="1"/>
  <c r="H171" i="1"/>
  <c r="I171" i="1" s="1"/>
  <c r="H117" i="1"/>
  <c r="H116" i="1"/>
  <c r="H114" i="1"/>
  <c r="H112" i="1"/>
  <c r="H111" i="1"/>
  <c r="I111" i="1" s="1"/>
  <c r="H95" i="1"/>
  <c r="H93" i="1"/>
  <c r="H92" i="1"/>
  <c r="H91" i="1"/>
  <c r="H90" i="1"/>
  <c r="H88" i="1"/>
  <c r="H61" i="1"/>
  <c r="H60" i="1"/>
  <c r="H50" i="1"/>
  <c r="H38" i="1"/>
  <c r="H37" i="1"/>
  <c r="H35" i="1"/>
  <c r="H30" i="1"/>
  <c r="H29" i="1"/>
  <c r="H28" i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F360" i="1"/>
  <c r="F359" i="1"/>
  <c r="F331" i="1"/>
  <c r="F259" i="1"/>
  <c r="F214" i="1"/>
  <c r="F213" i="1"/>
  <c r="F212" i="1"/>
  <c r="F191" i="1"/>
  <c r="F185" i="1"/>
  <c r="F184" i="1"/>
  <c r="F183" i="1"/>
  <c r="F182" i="1"/>
  <c r="F181" i="1"/>
  <c r="F174" i="1"/>
  <c r="F173" i="1"/>
  <c r="F172" i="1"/>
  <c r="F171" i="1"/>
  <c r="F168" i="1"/>
  <c r="F167" i="1"/>
  <c r="F166" i="1"/>
  <c r="F161" i="1"/>
  <c r="F160" i="1"/>
  <c r="F154" i="1"/>
  <c r="F153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5" i="1"/>
  <c r="F124" i="1"/>
  <c r="F122" i="1"/>
  <c r="F121" i="1"/>
  <c r="F119" i="1"/>
  <c r="F118" i="1"/>
  <c r="F117" i="1"/>
  <c r="F116" i="1"/>
  <c r="F115" i="1"/>
  <c r="F112" i="1"/>
  <c r="F111" i="1"/>
  <c r="F109" i="1"/>
  <c r="F108" i="1"/>
  <c r="F99" i="1"/>
  <c r="F98" i="1"/>
  <c r="F97" i="1"/>
  <c r="F96" i="1"/>
  <c r="F95" i="1"/>
  <c r="F89" i="1"/>
  <c r="F86" i="1"/>
  <c r="F83" i="1"/>
  <c r="F72" i="1"/>
  <c r="F70" i="1"/>
  <c r="F67" i="1"/>
  <c r="F57" i="1"/>
  <c r="F48" i="1"/>
  <c r="F46" i="1"/>
  <c r="F44" i="1"/>
  <c r="F42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K183" i="1" l="1"/>
  <c r="K184" i="1" s="1"/>
  <c r="K185" i="1"/>
  <c r="K186" i="1"/>
  <c r="K187" i="1"/>
  <c r="K188" i="1" s="1"/>
  <c r="K189" i="1"/>
  <c r="K190" i="1"/>
  <c r="K191" i="1"/>
  <c r="K192" i="1"/>
  <c r="K193" i="1" s="1"/>
  <c r="K194" i="1" s="1"/>
  <c r="K195" i="1" s="1"/>
  <c r="K196" i="1" s="1"/>
  <c r="K197" i="1" s="1"/>
  <c r="K198" i="1" s="1"/>
  <c r="K199" i="1"/>
  <c r="K200" i="1"/>
  <c r="K201" i="1" s="1"/>
  <c r="K202" i="1" s="1"/>
  <c r="K203" i="1" s="1"/>
  <c r="K204" i="1" s="1"/>
  <c r="K205" i="1" s="1"/>
  <c r="K206" i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/>
  <c r="K358" i="1"/>
  <c r="K359" i="1"/>
  <c r="K360" i="1"/>
  <c r="K361" i="1" s="1"/>
  <c r="K362" i="1"/>
  <c r="K363" i="1" s="1"/>
  <c r="K364" i="1" s="1"/>
  <c r="K365" i="1" s="1"/>
  <c r="K366" i="1"/>
  <c r="K367" i="1" s="1"/>
  <c r="K368" i="1" s="1"/>
  <c r="K369" i="1" s="1"/>
  <c r="K370" i="1"/>
  <c r="K371" i="1"/>
  <c r="I28" i="1"/>
  <c r="I29" i="1"/>
  <c r="I30" i="1"/>
  <c r="I31" i="1" s="1"/>
  <c r="I32" i="1" s="1"/>
  <c r="I33" i="1" s="1"/>
  <c r="I34" i="1" s="1"/>
  <c r="I35" i="1"/>
  <c r="I36" i="1" s="1"/>
  <c r="I37" i="1"/>
  <c r="I38" i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/>
  <c r="I51" i="1" s="1"/>
  <c r="I52" i="1" s="1"/>
  <c r="I53" i="1" s="1"/>
  <c r="I54" i="1" s="1"/>
  <c r="I55" i="1" s="1"/>
  <c r="I56" i="1" s="1"/>
  <c r="I57" i="1" s="1"/>
  <c r="I58" i="1" s="1"/>
  <c r="I59" i="1" s="1"/>
  <c r="I60" i="1"/>
  <c r="I61" i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/>
  <c r="I89" i="1" s="1"/>
  <c r="I90" i="1"/>
  <c r="I91" i="1"/>
  <c r="I92" i="1"/>
  <c r="I93" i="1"/>
  <c r="I94" i="1" s="1"/>
  <c r="I95" i="1"/>
  <c r="I96" i="1" s="1"/>
  <c r="I112" i="1"/>
  <c r="I113" i="1" s="1"/>
  <c r="I114" i="1"/>
  <c r="I115" i="1" s="1"/>
  <c r="I116" i="1"/>
  <c r="I117" i="1"/>
  <c r="I172" i="1"/>
  <c r="I173" i="1"/>
  <c r="I174" i="1" s="1"/>
  <c r="I175" i="1" s="1"/>
  <c r="I176" i="1"/>
  <c r="I177" i="1"/>
  <c r="I178" i="1"/>
  <c r="I179" i="1"/>
  <c r="I190" i="1"/>
  <c r="I191" i="1"/>
  <c r="I192" i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/>
  <c r="I255" i="1"/>
  <c r="I256" i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/>
  <c r="I339" i="1" s="1"/>
  <c r="I340" i="1" s="1"/>
  <c r="I341" i="1" s="1"/>
  <c r="I342" i="1" s="1"/>
  <c r="I343" i="1" s="1"/>
  <c r="I344" i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/>
  <c r="I357" i="1"/>
  <c r="I358" i="1" s="1"/>
  <c r="I359" i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G42" i="1"/>
  <c r="G43" i="1" s="1"/>
  <c r="G44" i="1"/>
  <c r="G45" i="1" s="1"/>
  <c r="G46" i="1"/>
  <c r="G47" i="1" s="1"/>
  <c r="G48" i="1"/>
  <c r="G49" i="1" s="1"/>
  <c r="G50" i="1" s="1"/>
  <c r="G51" i="1" s="1"/>
  <c r="G52" i="1" s="1"/>
  <c r="G53" i="1" s="1"/>
  <c r="G54" i="1" s="1"/>
  <c r="G55" i="1" s="1"/>
  <c r="G56" i="1" s="1"/>
  <c r="G57" i="1"/>
  <c r="G58" i="1" s="1"/>
  <c r="G59" i="1" s="1"/>
  <c r="G60" i="1" s="1"/>
  <c r="G61" i="1" s="1"/>
  <c r="G62" i="1" s="1"/>
  <c r="G63" i="1" s="1"/>
  <c r="G64" i="1" s="1"/>
  <c r="G65" i="1" s="1"/>
  <c r="G66" i="1" s="1"/>
  <c r="G67" i="1"/>
  <c r="G68" i="1" s="1"/>
  <c r="G69" i="1" s="1"/>
  <c r="G70" i="1"/>
  <c r="G71" i="1" s="1"/>
  <c r="G72" i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/>
  <c r="G84" i="1" s="1"/>
  <c r="G85" i="1" s="1"/>
  <c r="G86" i="1"/>
  <c r="G87" i="1" s="1"/>
  <c r="G88" i="1" s="1"/>
  <c r="G89" i="1"/>
  <c r="G90" i="1" s="1"/>
  <c r="G91" i="1" s="1"/>
  <c r="G92" i="1" s="1"/>
  <c r="G93" i="1" s="1"/>
  <c r="G94" i="1" s="1"/>
  <c r="G95" i="1"/>
  <c r="G96" i="1"/>
  <c r="G97" i="1"/>
  <c r="G98" i="1"/>
  <c r="G99" i="1"/>
  <c r="G100" i="1" s="1"/>
  <c r="G101" i="1" s="1"/>
  <c r="G102" i="1" s="1"/>
  <c r="G103" i="1" s="1"/>
  <c r="G104" i="1" s="1"/>
  <c r="G105" i="1" s="1"/>
  <c r="G106" i="1" s="1"/>
  <c r="G107" i="1" s="1"/>
  <c r="G108" i="1"/>
  <c r="G109" i="1"/>
  <c r="G110" i="1" s="1"/>
  <c r="G111" i="1"/>
  <c r="G112" i="1"/>
  <c r="G113" i="1" s="1"/>
  <c r="G114" i="1" s="1"/>
  <c r="G115" i="1"/>
  <c r="G116" i="1"/>
  <c r="G117" i="1"/>
  <c r="G118" i="1"/>
  <c r="G119" i="1"/>
  <c r="G120" i="1" s="1"/>
  <c r="G121" i="1"/>
  <c r="G122" i="1"/>
  <c r="G123" i="1" s="1"/>
  <c r="G124" i="1"/>
  <c r="G125" i="1"/>
  <c r="G126" i="1" s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 s="1"/>
  <c r="G152" i="1" s="1"/>
  <c r="G153" i="1"/>
  <c r="G154" i="1"/>
  <c r="G155" i="1" s="1"/>
  <c r="G156" i="1" s="1"/>
  <c r="G157" i="1" s="1"/>
  <c r="G158" i="1" s="1"/>
  <c r="G159" i="1" s="1"/>
  <c r="G160" i="1"/>
  <c r="G161" i="1"/>
  <c r="G162" i="1" s="1"/>
  <c r="G163" i="1" s="1"/>
  <c r="G164" i="1" s="1"/>
  <c r="G165" i="1" s="1"/>
  <c r="G166" i="1"/>
  <c r="G167" i="1"/>
  <c r="G168" i="1"/>
  <c r="G169" i="1" s="1"/>
  <c r="G170" i="1" s="1"/>
  <c r="G171" i="1"/>
  <c r="G172" i="1"/>
  <c r="G173" i="1"/>
  <c r="G174" i="1"/>
  <c r="G175" i="1" s="1"/>
  <c r="G176" i="1" s="1"/>
  <c r="G177" i="1" s="1"/>
  <c r="G178" i="1" s="1"/>
  <c r="G179" i="1" s="1"/>
  <c r="G180" i="1" s="1"/>
  <c r="G181" i="1"/>
  <c r="G182" i="1"/>
  <c r="G183" i="1"/>
  <c r="G184" i="1"/>
  <c r="G185" i="1"/>
  <c r="G186" i="1" s="1"/>
  <c r="G187" i="1" s="1"/>
  <c r="G188" i="1" s="1"/>
  <c r="G189" i="1" s="1"/>
  <c r="G190" i="1" s="1"/>
  <c r="G191" i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/>
  <c r="G213" i="1"/>
  <c r="G214" i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/>
  <c r="G332" i="1" s="1"/>
  <c r="G333" i="1" s="1"/>
  <c r="G334" i="1" s="1"/>
  <c r="G335" i="1" s="1"/>
  <c r="G336" i="1" s="1"/>
  <c r="G337" i="1" s="1"/>
  <c r="G338" i="1" s="1"/>
  <c r="G339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/>
  <c r="G360" i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</calcChain>
</file>

<file path=xl/sharedStrings.xml><?xml version="1.0" encoding="utf-8"?>
<sst xmlns="http://schemas.openxmlformats.org/spreadsheetml/2006/main" count="36" uniqueCount="12">
  <si>
    <t>FY 27</t>
  </si>
  <si>
    <t>FY 26</t>
  </si>
  <si>
    <t>FY 25</t>
  </si>
  <si>
    <t>FY 24</t>
  </si>
  <si>
    <t>FY 23</t>
  </si>
  <si>
    <t>Dimna Rain fall</t>
  </si>
  <si>
    <t>Date</t>
  </si>
  <si>
    <t>To day in MM</t>
  </si>
  <si>
    <t>YTD MM</t>
  </si>
  <si>
    <t>MAX</t>
  </si>
  <si>
    <t>MIN</t>
  </si>
  <si>
    <t>From Dimna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</si>
</sst>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;@"/>
    <numFmt numFmtId="165" formatCode="0.0"/>
    <numFmt numFmtId="166" formatCode="0.000"/>
  </numFmts>
  <fonts count="7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164" fontId="0" fillId="0" borderId="0" xfId="0" applyNumberFormat="1"/>
    <xf numFmtId="164" fontId="1" fillId="0" borderId="1" xfId="0" applyNumberFormat="1" applyFont="1" applyBorder="1"/>
    <xf numFmtId="164" fontId="0" fillId="0" borderId="2" xfId="0" applyNumberFormat="1" applyBorder="1"/>
    <xf numFmtId="0" fontId="0" fillId="2" borderId="0" xfId="0" applyFill="1"/>
    <xf numFmtId="0" fontId="2" fillId="2" borderId="0" xfId="0" applyFont="1" applyFill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4" fillId="0" borderId="0" xfId="0" applyFont="1"/>
    <xf numFmtId="2" fontId="0" fillId="0" borderId="0" xfId="0" applyNumberFormat="1"/>
    <xf numFmtId="2" fontId="0" fillId="5" borderId="0" xfId="0" applyNumberFormat="1" applyFill="1"/>
    <xf numFmtId="2" fontId="5" fillId="0" borderId="0" xfId="0" applyNumberFormat="1" applyFont="1"/>
    <xf numFmtId="0" fontId="1" fillId="0" borderId="0" xfId="0" applyFont="1"/>
    <xf numFmtId="0" fontId="0" fillId="5" borderId="0" xfId="0" applyFill="1"/>
    <xf numFmtId="0" fontId="2" fillId="0" borderId="0" xfId="0" applyFont="1"/>
    <xf numFmtId="2" fontId="2" fillId="0" borderId="0" xfId="1" applyNumberFormat="1"/>
    <xf numFmtId="2" fontId="2" fillId="0" borderId="0" xfId="0" applyNumberFormat="1" applyFont="1"/>
    <xf numFmtId="2" fontId="2" fillId="5" borderId="0" xfId="1" applyNumberFormat="1" applyFill="1"/>
    <xf numFmtId="0" fontId="1" fillId="2" borderId="2" xfId="0" applyFont="1" applyFill="1" applyBorder="1" applyAlignment="1">
      <alignment wrapText="1"/>
    </xf>
    <xf numFmtId="165" fontId="0" fillId="5" borderId="0" xfId="0" applyNumberFormat="1" applyFill="1"/>
    <xf numFmtId="165" fontId="1" fillId="5" borderId="0" xfId="0" applyNumberFormat="1" applyFont="1" applyFill="1"/>
    <xf numFmtId="2" fontId="6" fillId="5" borderId="0" xfId="0" applyNumberFormat="1" applyFont="1" applyFill="1"/>
    <xf numFmtId="166" fontId="0" fillId="0" borderId="0" xfId="0" applyNumberFormat="1"/>
    <xf numFmtId="165" fontId="0" fillId="0" borderId="0" xfId="0" applyNumberFormat="1"/>
    <xf numFmtId="0" fontId="1" fillId="0" borderId="7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Normal" xfId="0" builtinId="0"/>
    <cellStyle name="Normal 11 2" xfId="1" xr:uid="{674A17F3-A474-4AEB-BB56-370150ACD7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5"/>
  <sheetViews>
    <sheetView tabSelected="1" workbookViewId="0">
      <selection activeCell="Q12" sqref="Q12"/>
    </sheetView>
  </sheetViews>
  <sheetFormatPr defaultRowHeight="15"/>
  <sheetData>
    <row r="1" spans="1:11">
      <c r="F1" s="14"/>
    </row>
    <row r="2" spans="1:11">
      <c r="A2" s="1"/>
      <c r="B2" s="4" t="s">
        <v>0</v>
      </c>
      <c r="C2" s="5"/>
      <c r="D2" s="4" t="s">
        <v>1</v>
      </c>
      <c r="E2" s="5"/>
      <c r="F2" s="4" t="s">
        <v>2</v>
      </c>
      <c r="G2" s="5"/>
      <c r="H2" s="4" t="s">
        <v>3</v>
      </c>
      <c r="I2" s="5"/>
      <c r="J2" s="4" t="s">
        <v>4</v>
      </c>
      <c r="K2" s="5"/>
    </row>
    <row r="3" spans="1:11">
      <c r="A3" s="1"/>
      <c r="B3" s="30" t="s">
        <v>5</v>
      </c>
      <c r="C3" s="31"/>
      <c r="D3" s="30" t="s">
        <v>5</v>
      </c>
      <c r="E3" s="31"/>
      <c r="F3" s="6" t="s">
        <v>5</v>
      </c>
      <c r="G3" s="7"/>
      <c r="H3" s="30" t="s">
        <v>5</v>
      </c>
      <c r="I3" s="31"/>
      <c r="J3" s="30" t="s">
        <v>5</v>
      </c>
      <c r="K3" s="31"/>
    </row>
    <row r="4" spans="1:11">
      <c r="A4" s="2" t="s">
        <v>6</v>
      </c>
      <c r="B4" s="28" t="s">
        <v>7</v>
      </c>
      <c r="C4" s="28" t="s">
        <v>8</v>
      </c>
      <c r="D4" s="28" t="s">
        <v>7</v>
      </c>
      <c r="E4" s="28" t="s">
        <v>8</v>
      </c>
      <c r="F4" s="28" t="s">
        <v>7</v>
      </c>
      <c r="G4" s="8" t="s">
        <v>8</v>
      </c>
      <c r="H4" s="28" t="s">
        <v>7</v>
      </c>
      <c r="I4" s="28" t="s">
        <v>8</v>
      </c>
      <c r="J4" s="28" t="s">
        <v>7</v>
      </c>
      <c r="K4" s="28" t="s">
        <v>8</v>
      </c>
    </row>
    <row r="5" spans="1:11">
      <c r="A5" s="3"/>
      <c r="B5" s="29"/>
      <c r="C5" s="29"/>
      <c r="D5" s="29"/>
      <c r="E5" s="29"/>
      <c r="F5" s="29"/>
      <c r="G5" s="9"/>
      <c r="H5" s="29"/>
      <c r="I5" s="29"/>
      <c r="J5" s="29"/>
      <c r="K5" s="29"/>
    </row>
    <row r="6" spans="1:11">
      <c r="A6" s="1">
        <v>43556</v>
      </c>
      <c r="B6" s="10">
        <v>0</v>
      </c>
      <c r="C6">
        <f>B6</f>
        <v>0</v>
      </c>
      <c r="D6">
        <v>0</v>
      </c>
      <c r="E6">
        <f>D6</f>
        <v>0</v>
      </c>
      <c r="F6" s="11">
        <v>0</v>
      </c>
      <c r="G6" s="11">
        <f>F6</f>
        <v>0</v>
      </c>
      <c r="H6" s="17">
        <v>0</v>
      </c>
      <c r="I6" s="11">
        <f>H6</f>
        <v>0</v>
      </c>
      <c r="J6" s="11">
        <v>0</v>
      </c>
      <c r="K6" s="11">
        <f>J6</f>
        <v>0</v>
      </c>
    </row>
    <row r="7" spans="1:11">
      <c r="A7" s="1">
        <v>43557</v>
      </c>
      <c r="B7">
        <v>0</v>
      </c>
      <c r="C7">
        <f>B7+C6</f>
        <v>0</v>
      </c>
      <c r="D7">
        <v>0</v>
      </c>
      <c r="E7">
        <f>D7+E6</f>
        <v>0</v>
      </c>
      <c r="F7" s="11">
        <v>0</v>
      </c>
      <c r="G7" s="11">
        <f>F7+G6</f>
        <v>0</v>
      </c>
      <c r="H7" s="17">
        <v>0</v>
      </c>
      <c r="I7" s="11">
        <f t="shared" ref="I7:I70" si="0">H7+I6</f>
        <v>0</v>
      </c>
      <c r="J7" s="11">
        <v>0</v>
      </c>
      <c r="K7" s="11">
        <f>J7+K6</f>
        <v>0</v>
      </c>
    </row>
    <row r="8" spans="1:11">
      <c r="A8" s="1">
        <v>43558</v>
      </c>
      <c r="B8">
        <v>0</v>
      </c>
      <c r="C8">
        <f t="shared" ref="C8:C71" si="1">B8+C7</f>
        <v>0</v>
      </c>
      <c r="D8">
        <v>0</v>
      </c>
      <c r="E8">
        <f t="shared" ref="E8:E71" si="2">D8+E7</f>
        <v>0</v>
      </c>
      <c r="F8" s="11">
        <v>0</v>
      </c>
      <c r="G8" s="11">
        <f t="shared" ref="G8:G71" si="3">F8+G7</f>
        <v>0</v>
      </c>
      <c r="H8" s="17">
        <v>0</v>
      </c>
      <c r="I8" s="11">
        <f t="shared" si="0"/>
        <v>0</v>
      </c>
      <c r="J8" s="11">
        <v>0</v>
      </c>
      <c r="K8" s="11">
        <f t="shared" ref="K8:K71" si="4">J8+K7</f>
        <v>0</v>
      </c>
    </row>
    <row r="9" spans="1:11">
      <c r="A9" s="1">
        <v>43559</v>
      </c>
      <c r="B9">
        <v>2</v>
      </c>
      <c r="C9">
        <f t="shared" si="1"/>
        <v>2</v>
      </c>
      <c r="D9">
        <v>0</v>
      </c>
      <c r="E9">
        <f t="shared" si="2"/>
        <v>0</v>
      </c>
      <c r="F9" s="11">
        <v>0</v>
      </c>
      <c r="G9" s="11">
        <f t="shared" si="3"/>
        <v>0</v>
      </c>
      <c r="H9" s="17">
        <v>0</v>
      </c>
      <c r="I9" s="11">
        <f t="shared" si="0"/>
        <v>0</v>
      </c>
      <c r="J9" s="11">
        <v>0</v>
      </c>
      <c r="K9" s="11">
        <f t="shared" si="4"/>
        <v>0</v>
      </c>
    </row>
    <row r="10" spans="1:11">
      <c r="A10" s="1">
        <v>43560</v>
      </c>
      <c r="B10">
        <v>0</v>
      </c>
      <c r="C10">
        <f t="shared" si="1"/>
        <v>2</v>
      </c>
      <c r="D10">
        <v>0</v>
      </c>
      <c r="E10">
        <f t="shared" si="2"/>
        <v>0</v>
      </c>
      <c r="F10" s="11">
        <v>0</v>
      </c>
      <c r="G10" s="11">
        <f t="shared" si="3"/>
        <v>0</v>
      </c>
      <c r="H10" s="17">
        <v>0</v>
      </c>
      <c r="I10" s="11">
        <f t="shared" si="0"/>
        <v>0</v>
      </c>
      <c r="J10" s="11">
        <v>0</v>
      </c>
      <c r="K10" s="11">
        <f t="shared" si="4"/>
        <v>0</v>
      </c>
    </row>
    <row r="11" spans="1:11">
      <c r="A11" s="1">
        <v>43561</v>
      </c>
      <c r="B11">
        <v>4.0999999999999996</v>
      </c>
      <c r="C11">
        <f t="shared" si="1"/>
        <v>6.1</v>
      </c>
      <c r="D11">
        <v>0</v>
      </c>
      <c r="E11">
        <f t="shared" si="2"/>
        <v>0</v>
      </c>
      <c r="F11" s="11">
        <v>0</v>
      </c>
      <c r="G11" s="11">
        <f t="shared" si="3"/>
        <v>0</v>
      </c>
      <c r="H11" s="17">
        <v>0</v>
      </c>
      <c r="I11" s="11">
        <f t="shared" si="0"/>
        <v>0</v>
      </c>
      <c r="J11" s="11">
        <v>0</v>
      </c>
      <c r="K11" s="11">
        <f t="shared" si="4"/>
        <v>0</v>
      </c>
    </row>
    <row r="12" spans="1:11">
      <c r="A12" s="1">
        <v>43562</v>
      </c>
      <c r="B12">
        <v>6.4</v>
      </c>
      <c r="C12">
        <f t="shared" si="1"/>
        <v>12.5</v>
      </c>
      <c r="D12">
        <v>0</v>
      </c>
      <c r="E12">
        <f t="shared" si="2"/>
        <v>0</v>
      </c>
      <c r="F12" s="11">
        <v>0</v>
      </c>
      <c r="G12" s="11">
        <f t="shared" si="3"/>
        <v>0</v>
      </c>
      <c r="H12" s="17">
        <v>0</v>
      </c>
      <c r="I12" s="11">
        <f t="shared" si="0"/>
        <v>0</v>
      </c>
      <c r="J12" s="11">
        <v>0</v>
      </c>
      <c r="K12" s="11">
        <f t="shared" si="4"/>
        <v>0</v>
      </c>
    </row>
    <row r="13" spans="1:11">
      <c r="A13" s="1">
        <v>43563</v>
      </c>
      <c r="B13">
        <v>15</v>
      </c>
      <c r="C13">
        <f t="shared" si="1"/>
        <v>27.5</v>
      </c>
      <c r="D13">
        <v>0</v>
      </c>
      <c r="E13">
        <f t="shared" si="2"/>
        <v>0</v>
      </c>
      <c r="F13" s="11">
        <v>0</v>
      </c>
      <c r="G13" s="11">
        <f t="shared" si="3"/>
        <v>0</v>
      </c>
      <c r="H13" s="17">
        <v>0</v>
      </c>
      <c r="I13" s="11">
        <f t="shared" si="0"/>
        <v>0</v>
      </c>
      <c r="J13" s="11">
        <v>0</v>
      </c>
      <c r="K13" s="11">
        <f t="shared" si="4"/>
        <v>0</v>
      </c>
    </row>
    <row r="14" spans="1:11">
      <c r="A14" s="1">
        <v>43564</v>
      </c>
      <c r="B14">
        <v>0</v>
      </c>
      <c r="C14">
        <f t="shared" si="1"/>
        <v>27.5</v>
      </c>
      <c r="D14">
        <v>0</v>
      </c>
      <c r="E14">
        <f t="shared" si="2"/>
        <v>0</v>
      </c>
      <c r="F14" s="11">
        <v>0</v>
      </c>
      <c r="G14" s="11">
        <f t="shared" si="3"/>
        <v>0</v>
      </c>
      <c r="H14" s="17">
        <v>0</v>
      </c>
      <c r="I14" s="11">
        <f t="shared" si="0"/>
        <v>0</v>
      </c>
      <c r="J14" s="11">
        <v>0</v>
      </c>
      <c r="K14" s="11">
        <f t="shared" si="4"/>
        <v>0</v>
      </c>
    </row>
    <row r="15" spans="1:11">
      <c r="A15" s="1">
        <v>43565</v>
      </c>
      <c r="B15">
        <v>0</v>
      </c>
      <c r="C15">
        <f t="shared" si="1"/>
        <v>27.5</v>
      </c>
      <c r="D15">
        <v>0</v>
      </c>
      <c r="E15">
        <f t="shared" si="2"/>
        <v>0</v>
      </c>
      <c r="F15" s="11">
        <v>0</v>
      </c>
      <c r="G15" s="11">
        <f t="shared" si="3"/>
        <v>0</v>
      </c>
      <c r="H15" s="17">
        <v>0</v>
      </c>
      <c r="I15" s="11">
        <f t="shared" si="0"/>
        <v>0</v>
      </c>
      <c r="J15" s="11">
        <v>0</v>
      </c>
      <c r="K15" s="11">
        <f t="shared" si="4"/>
        <v>0</v>
      </c>
    </row>
    <row r="16" spans="1:11">
      <c r="A16" s="1">
        <v>43566</v>
      </c>
      <c r="B16">
        <v>0</v>
      </c>
      <c r="C16">
        <f t="shared" si="1"/>
        <v>27.5</v>
      </c>
      <c r="D16">
        <v>23.875999999999998</v>
      </c>
      <c r="E16">
        <f t="shared" si="2"/>
        <v>23.875999999999998</v>
      </c>
      <c r="F16" s="11">
        <v>0</v>
      </c>
      <c r="G16" s="11">
        <f t="shared" si="3"/>
        <v>0</v>
      </c>
      <c r="H16" s="17">
        <v>0</v>
      </c>
      <c r="I16" s="11">
        <f t="shared" si="0"/>
        <v>0</v>
      </c>
      <c r="J16" s="11">
        <v>0</v>
      </c>
      <c r="K16" s="11">
        <f t="shared" si="4"/>
        <v>0</v>
      </c>
    </row>
    <row r="17" spans="1:11">
      <c r="A17" s="1">
        <v>43567</v>
      </c>
      <c r="B17">
        <v>0</v>
      </c>
      <c r="C17">
        <f t="shared" si="1"/>
        <v>27.5</v>
      </c>
      <c r="D17">
        <v>0</v>
      </c>
      <c r="E17">
        <f t="shared" si="2"/>
        <v>23.875999999999998</v>
      </c>
      <c r="F17" s="11">
        <v>0</v>
      </c>
      <c r="G17" s="11">
        <f t="shared" si="3"/>
        <v>0</v>
      </c>
      <c r="H17" s="17">
        <v>0</v>
      </c>
      <c r="I17" s="11">
        <f t="shared" si="0"/>
        <v>0</v>
      </c>
      <c r="J17" s="11">
        <v>0</v>
      </c>
      <c r="K17" s="11">
        <f t="shared" si="4"/>
        <v>0</v>
      </c>
    </row>
    <row r="18" spans="1:11">
      <c r="A18" s="1">
        <v>43568</v>
      </c>
      <c r="B18">
        <v>0</v>
      </c>
      <c r="C18">
        <f t="shared" si="1"/>
        <v>27.5</v>
      </c>
      <c r="D18">
        <v>0</v>
      </c>
      <c r="E18">
        <f t="shared" si="2"/>
        <v>23.875999999999998</v>
      </c>
      <c r="F18" s="11">
        <v>0</v>
      </c>
      <c r="G18" s="11">
        <f t="shared" si="3"/>
        <v>0</v>
      </c>
      <c r="H18" s="17">
        <v>0</v>
      </c>
      <c r="I18" s="11">
        <f t="shared" si="0"/>
        <v>0</v>
      </c>
      <c r="J18" s="11">
        <v>0</v>
      </c>
      <c r="K18" s="11">
        <f t="shared" si="4"/>
        <v>0</v>
      </c>
    </row>
    <row r="19" spans="1:11">
      <c r="A19" s="1">
        <v>43569</v>
      </c>
      <c r="B19">
        <v>0</v>
      </c>
      <c r="C19">
        <f t="shared" si="1"/>
        <v>27.5</v>
      </c>
      <c r="D19">
        <v>0</v>
      </c>
      <c r="E19">
        <f t="shared" si="2"/>
        <v>23.875999999999998</v>
      </c>
      <c r="F19" s="11">
        <v>0</v>
      </c>
      <c r="G19" s="11">
        <f t="shared" si="3"/>
        <v>0</v>
      </c>
      <c r="H19" s="17">
        <v>0</v>
      </c>
      <c r="I19" s="11">
        <f t="shared" si="0"/>
        <v>0</v>
      </c>
      <c r="J19" s="11">
        <v>0</v>
      </c>
      <c r="K19" s="11">
        <f t="shared" si="4"/>
        <v>0</v>
      </c>
    </row>
    <row r="20" spans="1:11">
      <c r="A20" s="1">
        <v>43570</v>
      </c>
      <c r="B20">
        <v>0</v>
      </c>
      <c r="C20">
        <f t="shared" si="1"/>
        <v>27.5</v>
      </c>
      <c r="D20">
        <v>0</v>
      </c>
      <c r="E20">
        <f t="shared" si="2"/>
        <v>23.875999999999998</v>
      </c>
      <c r="F20" s="11">
        <v>0</v>
      </c>
      <c r="G20" s="11">
        <f t="shared" si="3"/>
        <v>0</v>
      </c>
      <c r="H20" s="17">
        <v>0</v>
      </c>
      <c r="I20" s="11">
        <f t="shared" si="0"/>
        <v>0</v>
      </c>
      <c r="J20" s="11">
        <v>0</v>
      </c>
      <c r="K20" s="11">
        <f t="shared" si="4"/>
        <v>0</v>
      </c>
    </row>
    <row r="21" spans="1:11">
      <c r="A21" s="1">
        <v>43571</v>
      </c>
      <c r="B21">
        <v>0</v>
      </c>
      <c r="C21">
        <f t="shared" si="1"/>
        <v>27.5</v>
      </c>
      <c r="D21">
        <v>0</v>
      </c>
      <c r="E21">
        <f t="shared" si="2"/>
        <v>23.875999999999998</v>
      </c>
      <c r="F21" s="11">
        <v>0</v>
      </c>
      <c r="G21" s="11">
        <f t="shared" si="3"/>
        <v>0</v>
      </c>
      <c r="H21" s="17">
        <v>0</v>
      </c>
      <c r="I21" s="11">
        <f t="shared" si="0"/>
        <v>0</v>
      </c>
      <c r="J21" s="11">
        <v>0</v>
      </c>
      <c r="K21" s="11">
        <f t="shared" si="4"/>
        <v>0</v>
      </c>
    </row>
    <row r="22" spans="1:11">
      <c r="A22" s="1">
        <v>43572</v>
      </c>
      <c r="B22">
        <v>0</v>
      </c>
      <c r="C22">
        <f t="shared" si="1"/>
        <v>27.5</v>
      </c>
      <c r="D22">
        <v>0</v>
      </c>
      <c r="E22">
        <f t="shared" si="2"/>
        <v>23.875999999999998</v>
      </c>
      <c r="F22" s="11">
        <v>0</v>
      </c>
      <c r="G22" s="11">
        <f t="shared" si="3"/>
        <v>0</v>
      </c>
      <c r="H22" s="17">
        <v>0</v>
      </c>
      <c r="I22" s="11">
        <f t="shared" si="0"/>
        <v>0</v>
      </c>
      <c r="J22" s="11">
        <v>0</v>
      </c>
      <c r="K22" s="11">
        <f t="shared" si="4"/>
        <v>0</v>
      </c>
    </row>
    <row r="23" spans="1:11">
      <c r="A23" s="1">
        <v>43573</v>
      </c>
      <c r="B23">
        <v>0</v>
      </c>
      <c r="C23">
        <f t="shared" si="1"/>
        <v>27.5</v>
      </c>
      <c r="D23">
        <v>0</v>
      </c>
      <c r="E23">
        <f t="shared" si="2"/>
        <v>23.875999999999998</v>
      </c>
      <c r="F23" s="11">
        <v>0</v>
      </c>
      <c r="G23" s="11">
        <f t="shared" si="3"/>
        <v>0</v>
      </c>
      <c r="H23" s="17">
        <v>0</v>
      </c>
      <c r="I23" s="11">
        <f t="shared" si="0"/>
        <v>0</v>
      </c>
      <c r="J23" s="11">
        <v>0</v>
      </c>
      <c r="K23" s="11">
        <f t="shared" si="4"/>
        <v>0</v>
      </c>
    </row>
    <row r="24" spans="1:11">
      <c r="A24" s="1">
        <v>43574</v>
      </c>
      <c r="B24">
        <v>0</v>
      </c>
      <c r="C24">
        <f t="shared" si="1"/>
        <v>27.5</v>
      </c>
      <c r="D24">
        <v>0</v>
      </c>
      <c r="E24">
        <f t="shared" si="2"/>
        <v>23.875999999999998</v>
      </c>
      <c r="F24" s="11">
        <v>0</v>
      </c>
      <c r="G24" s="11">
        <f t="shared" si="3"/>
        <v>0</v>
      </c>
      <c r="H24" s="17">
        <v>0</v>
      </c>
      <c r="I24" s="11">
        <f t="shared" si="0"/>
        <v>0</v>
      </c>
      <c r="J24" s="11">
        <v>0</v>
      </c>
      <c r="K24" s="11">
        <f t="shared" si="4"/>
        <v>0</v>
      </c>
    </row>
    <row r="25" spans="1:11">
      <c r="A25" s="1">
        <v>43575</v>
      </c>
      <c r="B25">
        <v>0</v>
      </c>
      <c r="C25">
        <f t="shared" si="1"/>
        <v>27.5</v>
      </c>
      <c r="D25">
        <v>0</v>
      </c>
      <c r="E25">
        <f t="shared" si="2"/>
        <v>23.875999999999998</v>
      </c>
      <c r="F25" s="11">
        <v>0</v>
      </c>
      <c r="G25" s="11">
        <f t="shared" si="3"/>
        <v>0</v>
      </c>
      <c r="H25" s="17">
        <v>0</v>
      </c>
      <c r="I25" s="11">
        <f t="shared" si="0"/>
        <v>0</v>
      </c>
      <c r="J25" s="11">
        <v>0</v>
      </c>
      <c r="K25" s="11">
        <f t="shared" si="4"/>
        <v>0</v>
      </c>
    </row>
    <row r="26" spans="1:11">
      <c r="A26" s="1">
        <v>43576</v>
      </c>
      <c r="B26">
        <v>0</v>
      </c>
      <c r="C26">
        <f t="shared" si="1"/>
        <v>27.5</v>
      </c>
      <c r="D26">
        <v>0</v>
      </c>
      <c r="E26">
        <f t="shared" si="2"/>
        <v>23.875999999999998</v>
      </c>
      <c r="F26" s="11">
        <v>0</v>
      </c>
      <c r="G26" s="11">
        <f t="shared" si="3"/>
        <v>0</v>
      </c>
      <c r="H26" s="17">
        <v>0</v>
      </c>
      <c r="I26" s="11">
        <f t="shared" si="0"/>
        <v>0</v>
      </c>
      <c r="J26" s="11">
        <v>15.239999999999998</v>
      </c>
      <c r="K26" s="11">
        <f t="shared" si="4"/>
        <v>15.239999999999998</v>
      </c>
    </row>
    <row r="27" spans="1:11">
      <c r="A27" s="1">
        <v>43577</v>
      </c>
      <c r="B27">
        <v>0</v>
      </c>
      <c r="C27">
        <f t="shared" si="1"/>
        <v>27.5</v>
      </c>
      <c r="D27">
        <v>0</v>
      </c>
      <c r="E27">
        <f t="shared" si="2"/>
        <v>23.875999999999998</v>
      </c>
      <c r="F27" s="11">
        <v>0</v>
      </c>
      <c r="G27" s="11">
        <f t="shared" si="3"/>
        <v>0</v>
      </c>
      <c r="H27" s="17">
        <v>0</v>
      </c>
      <c r="I27" s="11">
        <f t="shared" si="0"/>
        <v>0</v>
      </c>
      <c r="J27" s="11">
        <v>0</v>
      </c>
      <c r="K27" s="11">
        <f t="shared" si="4"/>
        <v>15.239999999999998</v>
      </c>
    </row>
    <row r="28" spans="1:11">
      <c r="A28" s="1">
        <v>43578</v>
      </c>
      <c r="B28">
        <v>0</v>
      </c>
      <c r="C28">
        <f t="shared" si="1"/>
        <v>27.5</v>
      </c>
      <c r="D28">
        <v>0</v>
      </c>
      <c r="E28">
        <f t="shared" si="2"/>
        <v>23.875999999999998</v>
      </c>
      <c r="F28" s="11">
        <v>0</v>
      </c>
      <c r="G28" s="11">
        <f t="shared" si="3"/>
        <v>0</v>
      </c>
      <c r="H28" s="17">
        <f>25.4*0.54</f>
        <v>13.715999999999999</v>
      </c>
      <c r="I28" s="11">
        <f t="shared" si="0"/>
        <v>13.715999999999999</v>
      </c>
      <c r="J28" s="11">
        <v>0</v>
      </c>
      <c r="K28" s="11">
        <f t="shared" si="4"/>
        <v>15.239999999999998</v>
      </c>
    </row>
    <row r="29" spans="1:11">
      <c r="A29" s="1">
        <v>43579</v>
      </c>
      <c r="B29">
        <v>0</v>
      </c>
      <c r="C29">
        <f t="shared" si="1"/>
        <v>27.5</v>
      </c>
      <c r="D29">
        <v>0</v>
      </c>
      <c r="E29">
        <f t="shared" si="2"/>
        <v>23.875999999999998</v>
      </c>
      <c r="F29" s="11">
        <v>0</v>
      </c>
      <c r="G29" s="11">
        <f t="shared" si="3"/>
        <v>0</v>
      </c>
      <c r="H29">
        <f>25.4*2.3</f>
        <v>58.419999999999995</v>
      </c>
      <c r="I29" s="11">
        <f t="shared" si="0"/>
        <v>72.135999999999996</v>
      </c>
      <c r="J29" s="11">
        <v>0</v>
      </c>
      <c r="K29" s="11">
        <f t="shared" si="4"/>
        <v>15.239999999999998</v>
      </c>
    </row>
    <row r="30" spans="1:11">
      <c r="A30" s="1">
        <v>43580</v>
      </c>
      <c r="B30">
        <v>0</v>
      </c>
      <c r="C30">
        <f t="shared" si="1"/>
        <v>27.5</v>
      </c>
      <c r="D30">
        <v>0</v>
      </c>
      <c r="E30">
        <f t="shared" si="2"/>
        <v>23.875999999999998</v>
      </c>
      <c r="F30" s="11">
        <v>0</v>
      </c>
      <c r="G30" s="11">
        <f t="shared" si="3"/>
        <v>0</v>
      </c>
      <c r="H30">
        <f>0.16*25.4</f>
        <v>4.0640000000000001</v>
      </c>
      <c r="I30" s="11">
        <f t="shared" si="0"/>
        <v>76.199999999999989</v>
      </c>
      <c r="J30" s="11">
        <v>0</v>
      </c>
      <c r="K30" s="11">
        <f t="shared" si="4"/>
        <v>15.239999999999998</v>
      </c>
    </row>
    <row r="31" spans="1:11">
      <c r="A31" s="1">
        <v>43581</v>
      </c>
      <c r="B31">
        <v>0</v>
      </c>
      <c r="C31">
        <f t="shared" si="1"/>
        <v>27.5</v>
      </c>
      <c r="D31">
        <v>0</v>
      </c>
      <c r="E31">
        <f t="shared" si="2"/>
        <v>23.875999999999998</v>
      </c>
      <c r="F31" s="11">
        <v>0</v>
      </c>
      <c r="G31" s="11">
        <f t="shared" si="3"/>
        <v>0</v>
      </c>
      <c r="H31" s="17">
        <v>0</v>
      </c>
      <c r="I31" s="11">
        <f t="shared" si="0"/>
        <v>76.199999999999989</v>
      </c>
      <c r="J31" s="11">
        <v>0</v>
      </c>
      <c r="K31" s="11">
        <f t="shared" si="4"/>
        <v>15.239999999999998</v>
      </c>
    </row>
    <row r="32" spans="1:11">
      <c r="A32" s="1">
        <v>43582</v>
      </c>
      <c r="B32">
        <v>0</v>
      </c>
      <c r="C32">
        <f t="shared" si="1"/>
        <v>27.5</v>
      </c>
      <c r="D32">
        <v>0</v>
      </c>
      <c r="E32">
        <f t="shared" si="2"/>
        <v>23.875999999999998</v>
      </c>
      <c r="F32" s="11">
        <v>0</v>
      </c>
      <c r="G32" s="11">
        <f t="shared" si="3"/>
        <v>0</v>
      </c>
      <c r="H32" s="17">
        <v>0</v>
      </c>
      <c r="I32" s="11">
        <f t="shared" si="0"/>
        <v>76.199999999999989</v>
      </c>
      <c r="J32" s="11">
        <v>0</v>
      </c>
      <c r="K32" s="11">
        <f t="shared" si="4"/>
        <v>15.239999999999998</v>
      </c>
    </row>
    <row r="33" spans="1:11">
      <c r="A33" s="1">
        <v>43583</v>
      </c>
      <c r="B33">
        <v>3.6</v>
      </c>
      <c r="C33">
        <f t="shared" si="1"/>
        <v>31.1</v>
      </c>
      <c r="D33">
        <v>29.209999999999997</v>
      </c>
      <c r="E33">
        <f t="shared" si="2"/>
        <v>53.085999999999999</v>
      </c>
      <c r="F33" s="11">
        <v>0</v>
      </c>
      <c r="G33" s="11">
        <f t="shared" si="3"/>
        <v>0</v>
      </c>
      <c r="H33" s="17">
        <v>0</v>
      </c>
      <c r="I33" s="11">
        <f t="shared" si="0"/>
        <v>76.199999999999989</v>
      </c>
      <c r="J33" s="11">
        <v>0</v>
      </c>
      <c r="K33" s="11">
        <f t="shared" si="4"/>
        <v>15.239999999999998</v>
      </c>
    </row>
    <row r="34" spans="1:11">
      <c r="A34" s="1">
        <v>43584</v>
      </c>
      <c r="B34">
        <v>15</v>
      </c>
      <c r="C34">
        <f t="shared" si="1"/>
        <v>46.1</v>
      </c>
      <c r="D34">
        <v>0</v>
      </c>
      <c r="E34">
        <f t="shared" si="2"/>
        <v>53.085999999999999</v>
      </c>
      <c r="F34" s="11">
        <v>0</v>
      </c>
      <c r="G34" s="11">
        <f t="shared" si="3"/>
        <v>0</v>
      </c>
      <c r="H34" s="17">
        <v>0</v>
      </c>
      <c r="I34" s="11">
        <f t="shared" si="0"/>
        <v>76.199999999999989</v>
      </c>
      <c r="J34">
        <v>0</v>
      </c>
      <c r="K34" s="11">
        <f t="shared" si="4"/>
        <v>15.239999999999998</v>
      </c>
    </row>
    <row r="35" spans="1:11">
      <c r="A35" s="1">
        <v>43585</v>
      </c>
      <c r="B35">
        <v>13.2</v>
      </c>
      <c r="C35">
        <f t="shared" si="1"/>
        <v>59.3</v>
      </c>
      <c r="D35">
        <v>0</v>
      </c>
      <c r="E35">
        <f t="shared" si="2"/>
        <v>53.085999999999999</v>
      </c>
      <c r="F35" s="11">
        <v>0</v>
      </c>
      <c r="G35" s="11">
        <f t="shared" si="3"/>
        <v>0</v>
      </c>
      <c r="H35">
        <f>25.4*0.07</f>
        <v>1.778</v>
      </c>
      <c r="I35" s="11">
        <f t="shared" si="0"/>
        <v>77.977999999999994</v>
      </c>
      <c r="J35">
        <v>8.8899999999999988</v>
      </c>
      <c r="K35" s="11">
        <f t="shared" si="4"/>
        <v>24.129999999999995</v>
      </c>
    </row>
    <row r="36" spans="1:11">
      <c r="A36" s="1">
        <v>43586</v>
      </c>
      <c r="B36">
        <v>14.2</v>
      </c>
      <c r="C36">
        <f t="shared" si="1"/>
        <v>73.5</v>
      </c>
      <c r="D36">
        <v>1.27</v>
      </c>
      <c r="E36">
        <f t="shared" si="2"/>
        <v>54.356000000000002</v>
      </c>
      <c r="F36" s="11">
        <v>0</v>
      </c>
      <c r="G36" s="11">
        <f t="shared" si="3"/>
        <v>0</v>
      </c>
      <c r="H36" s="17">
        <v>0</v>
      </c>
      <c r="I36" s="11">
        <f t="shared" si="0"/>
        <v>77.977999999999994</v>
      </c>
      <c r="J36" s="11">
        <v>9.6519999999999992</v>
      </c>
      <c r="K36" s="11">
        <f t="shared" si="4"/>
        <v>33.781999999999996</v>
      </c>
    </row>
    <row r="37" spans="1:11">
      <c r="A37" s="1">
        <v>43587</v>
      </c>
      <c r="B37">
        <v>7.4</v>
      </c>
      <c r="C37">
        <f t="shared" si="1"/>
        <v>80.900000000000006</v>
      </c>
      <c r="D37">
        <v>0</v>
      </c>
      <c r="E37">
        <f t="shared" si="2"/>
        <v>54.356000000000002</v>
      </c>
      <c r="F37" s="11">
        <v>0</v>
      </c>
      <c r="G37" s="11">
        <f t="shared" si="3"/>
        <v>0</v>
      </c>
      <c r="H37">
        <f>0.12*25.4</f>
        <v>3.0479999999999996</v>
      </c>
      <c r="I37" s="11">
        <f t="shared" si="0"/>
        <v>81.025999999999996</v>
      </c>
      <c r="J37" s="11">
        <v>0</v>
      </c>
      <c r="K37" s="11">
        <f t="shared" si="4"/>
        <v>33.781999999999996</v>
      </c>
    </row>
    <row r="38" spans="1:11">
      <c r="A38" s="1">
        <v>43588</v>
      </c>
      <c r="B38">
        <v>0</v>
      </c>
      <c r="C38">
        <f t="shared" si="1"/>
        <v>80.900000000000006</v>
      </c>
      <c r="D38">
        <v>40.131999999999998</v>
      </c>
      <c r="E38">
        <f t="shared" si="2"/>
        <v>94.488</v>
      </c>
      <c r="F38" s="11">
        <v>0</v>
      </c>
      <c r="G38" s="11">
        <f t="shared" si="3"/>
        <v>0</v>
      </c>
      <c r="H38">
        <f>25.4*0.6</f>
        <v>15.239999999999998</v>
      </c>
      <c r="I38" s="11">
        <f t="shared" si="0"/>
        <v>96.265999999999991</v>
      </c>
      <c r="J38">
        <v>0</v>
      </c>
      <c r="K38" s="11">
        <f t="shared" si="4"/>
        <v>33.781999999999996</v>
      </c>
    </row>
    <row r="39" spans="1:11">
      <c r="A39" s="1">
        <v>43589</v>
      </c>
      <c r="B39">
        <v>22.2</v>
      </c>
      <c r="C39">
        <f t="shared" si="1"/>
        <v>103.10000000000001</v>
      </c>
      <c r="D39">
        <v>0</v>
      </c>
      <c r="E39">
        <f t="shared" si="2"/>
        <v>94.488</v>
      </c>
      <c r="F39" s="11">
        <v>0</v>
      </c>
      <c r="G39" s="11">
        <f t="shared" si="3"/>
        <v>0</v>
      </c>
      <c r="H39" s="17">
        <v>0</v>
      </c>
      <c r="I39" s="11">
        <f t="shared" si="0"/>
        <v>96.265999999999991</v>
      </c>
      <c r="J39">
        <v>0</v>
      </c>
      <c r="K39" s="11">
        <f t="shared" si="4"/>
        <v>33.781999999999996</v>
      </c>
    </row>
    <row r="40" spans="1:11">
      <c r="A40" s="1">
        <v>43590</v>
      </c>
      <c r="B40">
        <v>0</v>
      </c>
      <c r="C40">
        <f t="shared" si="1"/>
        <v>103.10000000000001</v>
      </c>
      <c r="D40">
        <v>0</v>
      </c>
      <c r="E40">
        <f t="shared" si="2"/>
        <v>94.488</v>
      </c>
      <c r="F40" s="11">
        <v>0</v>
      </c>
      <c r="G40" s="11">
        <f t="shared" si="3"/>
        <v>0</v>
      </c>
      <c r="H40" s="17">
        <v>0</v>
      </c>
      <c r="I40" s="11">
        <f t="shared" si="0"/>
        <v>96.265999999999991</v>
      </c>
      <c r="J40" s="17">
        <v>7.3659999999999988</v>
      </c>
      <c r="K40" s="11">
        <f t="shared" si="4"/>
        <v>41.147999999999996</v>
      </c>
    </row>
    <row r="41" spans="1:11">
      <c r="A41" s="1">
        <v>43591</v>
      </c>
      <c r="B41">
        <v>0</v>
      </c>
      <c r="C41">
        <f t="shared" si="1"/>
        <v>103.10000000000001</v>
      </c>
      <c r="D41">
        <v>3.302</v>
      </c>
      <c r="E41">
        <f t="shared" si="2"/>
        <v>97.79</v>
      </c>
      <c r="F41" s="11">
        <v>0</v>
      </c>
      <c r="G41" s="11">
        <f t="shared" si="3"/>
        <v>0</v>
      </c>
      <c r="H41" s="17">
        <v>0</v>
      </c>
      <c r="I41" s="11">
        <f t="shared" si="0"/>
        <v>96.265999999999991</v>
      </c>
      <c r="J41">
        <v>0</v>
      </c>
      <c r="K41" s="11">
        <f t="shared" si="4"/>
        <v>41.147999999999996</v>
      </c>
    </row>
    <row r="42" spans="1:11">
      <c r="A42" s="1">
        <v>43592</v>
      </c>
      <c r="B42">
        <v>1</v>
      </c>
      <c r="C42">
        <f t="shared" si="1"/>
        <v>104.10000000000001</v>
      </c>
      <c r="D42">
        <v>0</v>
      </c>
      <c r="E42">
        <f t="shared" si="2"/>
        <v>97.79</v>
      </c>
      <c r="F42">
        <f>25.4*1.04</f>
        <v>26.416</v>
      </c>
      <c r="G42" s="11">
        <f t="shared" si="3"/>
        <v>26.416</v>
      </c>
      <c r="H42" s="17">
        <v>0</v>
      </c>
      <c r="I42" s="11">
        <f t="shared" si="0"/>
        <v>96.265999999999991</v>
      </c>
      <c r="J42" s="17">
        <v>9.6519999999999992</v>
      </c>
      <c r="K42" s="11">
        <f t="shared" si="4"/>
        <v>50.8</v>
      </c>
    </row>
    <row r="43" spans="1:11">
      <c r="A43" s="1">
        <v>43593</v>
      </c>
      <c r="B43">
        <v>3.2</v>
      </c>
      <c r="C43">
        <f t="shared" si="1"/>
        <v>107.30000000000001</v>
      </c>
      <c r="D43">
        <v>0</v>
      </c>
      <c r="E43">
        <f t="shared" si="2"/>
        <v>97.79</v>
      </c>
      <c r="F43" s="11">
        <v>0</v>
      </c>
      <c r="G43" s="11">
        <f t="shared" si="3"/>
        <v>26.416</v>
      </c>
      <c r="H43" s="17">
        <v>0</v>
      </c>
      <c r="I43" s="11">
        <f t="shared" si="0"/>
        <v>96.265999999999991</v>
      </c>
      <c r="J43" s="17">
        <v>0</v>
      </c>
      <c r="K43" s="11">
        <f t="shared" si="4"/>
        <v>50.8</v>
      </c>
    </row>
    <row r="44" spans="1:11">
      <c r="A44" s="1">
        <v>43594</v>
      </c>
      <c r="B44">
        <v>7.2</v>
      </c>
      <c r="C44">
        <f t="shared" si="1"/>
        <v>114.50000000000001</v>
      </c>
      <c r="D44">
        <v>0</v>
      </c>
      <c r="E44">
        <f t="shared" si="2"/>
        <v>97.79</v>
      </c>
      <c r="F44">
        <f>25.4*0.54</f>
        <v>13.715999999999999</v>
      </c>
      <c r="G44" s="11">
        <f t="shared" si="3"/>
        <v>40.131999999999998</v>
      </c>
      <c r="H44" s="17">
        <v>0</v>
      </c>
      <c r="I44" s="11">
        <f t="shared" si="0"/>
        <v>96.265999999999991</v>
      </c>
      <c r="J44" s="17">
        <v>0</v>
      </c>
      <c r="K44" s="11">
        <f t="shared" si="4"/>
        <v>50.8</v>
      </c>
    </row>
    <row r="45" spans="1:11">
      <c r="A45" s="1">
        <v>43595</v>
      </c>
      <c r="B45">
        <v>0</v>
      </c>
      <c r="C45">
        <f t="shared" si="1"/>
        <v>114.50000000000001</v>
      </c>
      <c r="D45">
        <v>0</v>
      </c>
      <c r="E45">
        <f t="shared" si="2"/>
        <v>97.79</v>
      </c>
      <c r="F45" s="11">
        <v>0</v>
      </c>
      <c r="G45" s="11">
        <f t="shared" si="3"/>
        <v>40.131999999999998</v>
      </c>
      <c r="H45" s="17">
        <v>0</v>
      </c>
      <c r="I45" s="11">
        <f t="shared" si="0"/>
        <v>96.265999999999991</v>
      </c>
      <c r="J45">
        <v>0</v>
      </c>
      <c r="K45" s="11">
        <f t="shared" si="4"/>
        <v>50.8</v>
      </c>
    </row>
    <row r="46" spans="1:11">
      <c r="A46" s="1">
        <v>43596</v>
      </c>
      <c r="B46">
        <v>0</v>
      </c>
      <c r="C46">
        <f t="shared" si="1"/>
        <v>114.50000000000001</v>
      </c>
      <c r="D46">
        <v>2.54</v>
      </c>
      <c r="E46">
        <f t="shared" si="2"/>
        <v>100.33000000000001</v>
      </c>
      <c r="F46">
        <f>0.46*25.4</f>
        <v>11.683999999999999</v>
      </c>
      <c r="G46" s="11">
        <f t="shared" si="3"/>
        <v>51.815999999999995</v>
      </c>
      <c r="H46" s="17">
        <v>0</v>
      </c>
      <c r="I46" s="11">
        <f t="shared" si="0"/>
        <v>96.265999999999991</v>
      </c>
      <c r="J46" s="17">
        <v>25.4</v>
      </c>
      <c r="K46" s="11">
        <f t="shared" si="4"/>
        <v>76.199999999999989</v>
      </c>
    </row>
    <row r="47" spans="1:11">
      <c r="A47" s="1">
        <v>43597</v>
      </c>
      <c r="B47">
        <v>10.4</v>
      </c>
      <c r="C47">
        <f t="shared" si="1"/>
        <v>124.90000000000002</v>
      </c>
      <c r="D47">
        <v>3.302</v>
      </c>
      <c r="E47">
        <f t="shared" si="2"/>
        <v>103.63200000000002</v>
      </c>
      <c r="F47" s="11">
        <v>0</v>
      </c>
      <c r="G47" s="11">
        <f t="shared" si="3"/>
        <v>51.815999999999995</v>
      </c>
      <c r="H47" s="17">
        <v>0</v>
      </c>
      <c r="I47" s="11">
        <f t="shared" si="0"/>
        <v>96.265999999999991</v>
      </c>
      <c r="J47" s="17">
        <v>0</v>
      </c>
      <c r="K47" s="11">
        <f t="shared" si="4"/>
        <v>76.199999999999989</v>
      </c>
    </row>
    <row r="48" spans="1:11">
      <c r="A48" s="1">
        <v>43598</v>
      </c>
      <c r="B48">
        <v>0</v>
      </c>
      <c r="C48">
        <f t="shared" si="1"/>
        <v>124.90000000000002</v>
      </c>
      <c r="D48">
        <v>0</v>
      </c>
      <c r="E48">
        <f t="shared" si="2"/>
        <v>103.63200000000002</v>
      </c>
      <c r="F48">
        <f>25.4*0.15</f>
        <v>3.8099999999999996</v>
      </c>
      <c r="G48" s="11">
        <f t="shared" si="3"/>
        <v>55.625999999999998</v>
      </c>
      <c r="H48" s="17">
        <v>0</v>
      </c>
      <c r="I48" s="11">
        <f t="shared" si="0"/>
        <v>96.265999999999991</v>
      </c>
      <c r="J48">
        <v>0</v>
      </c>
      <c r="K48" s="11">
        <f t="shared" si="4"/>
        <v>76.199999999999989</v>
      </c>
    </row>
    <row r="49" spans="1:11">
      <c r="A49" s="1">
        <v>43599</v>
      </c>
      <c r="B49">
        <v>0</v>
      </c>
      <c r="C49">
        <f t="shared" si="1"/>
        <v>124.90000000000002</v>
      </c>
      <c r="D49">
        <v>0</v>
      </c>
      <c r="E49">
        <f t="shared" si="2"/>
        <v>103.63200000000002</v>
      </c>
      <c r="F49" s="11">
        <v>0</v>
      </c>
      <c r="G49" s="11">
        <f t="shared" si="3"/>
        <v>55.625999999999998</v>
      </c>
      <c r="H49" s="17">
        <v>0</v>
      </c>
      <c r="I49" s="11">
        <f t="shared" si="0"/>
        <v>96.265999999999991</v>
      </c>
      <c r="J49">
        <v>5.8419999999999996</v>
      </c>
      <c r="K49" s="11">
        <f t="shared" si="4"/>
        <v>82.041999999999987</v>
      </c>
    </row>
    <row r="50" spans="1:11">
      <c r="A50" s="1">
        <v>43600</v>
      </c>
      <c r="B50">
        <v>15.6</v>
      </c>
      <c r="C50">
        <f t="shared" si="1"/>
        <v>140.50000000000003</v>
      </c>
      <c r="D50">
        <v>0</v>
      </c>
      <c r="E50">
        <f t="shared" si="2"/>
        <v>103.63200000000002</v>
      </c>
      <c r="F50" s="11">
        <v>0</v>
      </c>
      <c r="G50" s="11">
        <f t="shared" si="3"/>
        <v>55.625999999999998</v>
      </c>
      <c r="H50">
        <f>25.4*0.05</f>
        <v>1.27</v>
      </c>
      <c r="I50" s="11">
        <f t="shared" si="0"/>
        <v>97.535999999999987</v>
      </c>
      <c r="J50">
        <v>1.778</v>
      </c>
      <c r="K50" s="11">
        <f t="shared" si="4"/>
        <v>83.82</v>
      </c>
    </row>
    <row r="51" spans="1:11">
      <c r="A51" s="1">
        <v>43601</v>
      </c>
      <c r="B51">
        <v>0</v>
      </c>
      <c r="C51">
        <f t="shared" si="1"/>
        <v>140.50000000000003</v>
      </c>
      <c r="D51">
        <v>0</v>
      </c>
      <c r="E51">
        <f t="shared" si="2"/>
        <v>103.63200000000002</v>
      </c>
      <c r="F51" s="11">
        <v>0</v>
      </c>
      <c r="G51" s="11">
        <f t="shared" si="3"/>
        <v>55.625999999999998</v>
      </c>
      <c r="H51" s="17">
        <v>0</v>
      </c>
      <c r="I51" s="11">
        <f t="shared" si="0"/>
        <v>97.535999999999987</v>
      </c>
      <c r="J51" s="17">
        <v>11.43</v>
      </c>
      <c r="K51" s="11">
        <f t="shared" si="4"/>
        <v>95.25</v>
      </c>
    </row>
    <row r="52" spans="1:11">
      <c r="A52" s="1">
        <v>43602</v>
      </c>
      <c r="B52">
        <v>0</v>
      </c>
      <c r="C52">
        <f t="shared" si="1"/>
        <v>140.50000000000003</v>
      </c>
      <c r="D52">
        <v>2.54</v>
      </c>
      <c r="E52">
        <f t="shared" si="2"/>
        <v>106.17200000000003</v>
      </c>
      <c r="F52" s="11">
        <v>0.22</v>
      </c>
      <c r="G52" s="11">
        <f t="shared" si="3"/>
        <v>55.845999999999997</v>
      </c>
      <c r="H52" s="17">
        <v>0</v>
      </c>
      <c r="I52" s="11">
        <f t="shared" si="0"/>
        <v>97.535999999999987</v>
      </c>
      <c r="J52">
        <v>0</v>
      </c>
      <c r="K52" s="11">
        <f t="shared" si="4"/>
        <v>95.25</v>
      </c>
    </row>
    <row r="53" spans="1:11">
      <c r="A53" s="1">
        <v>43603</v>
      </c>
      <c r="C53">
        <f t="shared" si="1"/>
        <v>140.50000000000003</v>
      </c>
      <c r="D53">
        <v>1.27</v>
      </c>
      <c r="E53">
        <f t="shared" si="2"/>
        <v>107.44200000000002</v>
      </c>
      <c r="F53" s="11">
        <v>0</v>
      </c>
      <c r="G53" s="11">
        <f t="shared" si="3"/>
        <v>55.845999999999997</v>
      </c>
      <c r="H53" s="17">
        <v>0</v>
      </c>
      <c r="I53" s="11">
        <f t="shared" si="0"/>
        <v>97.535999999999987</v>
      </c>
      <c r="J53" s="17">
        <v>1.016</v>
      </c>
      <c r="K53" s="11">
        <f t="shared" si="4"/>
        <v>96.266000000000005</v>
      </c>
    </row>
    <row r="54" spans="1:11">
      <c r="A54" s="1">
        <v>43604</v>
      </c>
      <c r="B54">
        <v>1.4</v>
      </c>
      <c r="C54">
        <f t="shared" si="1"/>
        <v>141.90000000000003</v>
      </c>
      <c r="D54">
        <v>0</v>
      </c>
      <c r="E54">
        <f t="shared" si="2"/>
        <v>107.44200000000002</v>
      </c>
      <c r="F54" s="11">
        <v>0</v>
      </c>
      <c r="G54" s="11">
        <f t="shared" si="3"/>
        <v>55.845999999999997</v>
      </c>
      <c r="H54" s="17">
        <v>0</v>
      </c>
      <c r="I54" s="11">
        <f t="shared" si="0"/>
        <v>97.535999999999987</v>
      </c>
      <c r="J54" s="17">
        <v>0</v>
      </c>
      <c r="K54" s="11">
        <f t="shared" si="4"/>
        <v>96.266000000000005</v>
      </c>
    </row>
    <row r="55" spans="1:11">
      <c r="A55" s="1">
        <v>43605</v>
      </c>
      <c r="B55">
        <v>0</v>
      </c>
      <c r="C55">
        <f t="shared" si="1"/>
        <v>141.90000000000003</v>
      </c>
      <c r="D55">
        <v>0</v>
      </c>
      <c r="E55">
        <f t="shared" si="2"/>
        <v>107.44200000000002</v>
      </c>
      <c r="F55" s="11">
        <v>0</v>
      </c>
      <c r="G55" s="11">
        <f t="shared" si="3"/>
        <v>55.845999999999997</v>
      </c>
      <c r="H55" s="17">
        <v>0</v>
      </c>
      <c r="I55" s="11">
        <f t="shared" si="0"/>
        <v>97.535999999999987</v>
      </c>
      <c r="J55">
        <v>0</v>
      </c>
      <c r="K55" s="11">
        <f t="shared" si="4"/>
        <v>96.266000000000005</v>
      </c>
    </row>
    <row r="56" spans="1:11">
      <c r="A56" s="1">
        <v>43606</v>
      </c>
      <c r="B56">
        <v>0</v>
      </c>
      <c r="C56">
        <f t="shared" si="1"/>
        <v>141.90000000000003</v>
      </c>
      <c r="D56">
        <v>24.13</v>
      </c>
      <c r="E56">
        <f t="shared" si="2"/>
        <v>131.57200000000003</v>
      </c>
      <c r="F56" s="11">
        <v>0</v>
      </c>
      <c r="G56" s="11">
        <f t="shared" si="3"/>
        <v>55.845999999999997</v>
      </c>
      <c r="H56" s="17">
        <v>0</v>
      </c>
      <c r="I56" s="11">
        <f t="shared" si="0"/>
        <v>97.535999999999987</v>
      </c>
      <c r="J56">
        <v>3.302</v>
      </c>
      <c r="K56" s="11">
        <f t="shared" si="4"/>
        <v>99.568000000000012</v>
      </c>
    </row>
    <row r="57" spans="1:11">
      <c r="A57" s="1">
        <v>43607</v>
      </c>
      <c r="B57">
        <v>0</v>
      </c>
      <c r="C57">
        <f t="shared" si="1"/>
        <v>141.90000000000003</v>
      </c>
      <c r="D57">
        <v>6.35</v>
      </c>
      <c r="E57">
        <f t="shared" si="2"/>
        <v>137.92200000000003</v>
      </c>
      <c r="F57">
        <f>1.45*25.4</f>
        <v>36.83</v>
      </c>
      <c r="G57" s="11">
        <f t="shared" si="3"/>
        <v>92.675999999999988</v>
      </c>
      <c r="H57" s="17">
        <v>0</v>
      </c>
      <c r="I57" s="11">
        <f t="shared" si="0"/>
        <v>97.535999999999987</v>
      </c>
      <c r="J57">
        <v>1.778</v>
      </c>
      <c r="K57" s="11">
        <f t="shared" si="4"/>
        <v>101.34600000000002</v>
      </c>
    </row>
    <row r="58" spans="1:11">
      <c r="A58" s="1">
        <v>43608</v>
      </c>
      <c r="B58">
        <v>0</v>
      </c>
      <c r="C58">
        <f t="shared" si="1"/>
        <v>141.90000000000003</v>
      </c>
      <c r="D58">
        <v>0</v>
      </c>
      <c r="E58">
        <f t="shared" si="2"/>
        <v>137.92200000000003</v>
      </c>
      <c r="F58" s="11">
        <v>0</v>
      </c>
      <c r="G58" s="11">
        <f t="shared" si="3"/>
        <v>92.675999999999988</v>
      </c>
      <c r="H58" s="17">
        <v>0</v>
      </c>
      <c r="I58" s="11">
        <f t="shared" si="0"/>
        <v>97.535999999999987</v>
      </c>
      <c r="J58" s="17">
        <v>3.8099999999999996</v>
      </c>
      <c r="K58" s="11">
        <f t="shared" si="4"/>
        <v>105.15600000000002</v>
      </c>
    </row>
    <row r="59" spans="1:11">
      <c r="A59" s="1">
        <v>43609</v>
      </c>
      <c r="B59">
        <v>0</v>
      </c>
      <c r="C59">
        <f t="shared" si="1"/>
        <v>141.90000000000003</v>
      </c>
      <c r="D59">
        <v>3.8099999999999996</v>
      </c>
      <c r="E59">
        <f t="shared" si="2"/>
        <v>141.73200000000003</v>
      </c>
      <c r="F59" s="11">
        <v>0</v>
      </c>
      <c r="G59" s="11">
        <f t="shared" si="3"/>
        <v>92.675999999999988</v>
      </c>
      <c r="H59" s="17">
        <v>0</v>
      </c>
      <c r="I59" s="11">
        <f t="shared" si="0"/>
        <v>97.535999999999987</v>
      </c>
      <c r="J59" s="17">
        <v>0</v>
      </c>
      <c r="K59" s="11">
        <f t="shared" si="4"/>
        <v>105.15600000000002</v>
      </c>
    </row>
    <row r="60" spans="1:11">
      <c r="A60" s="1">
        <v>43610</v>
      </c>
      <c r="B60">
        <v>3</v>
      </c>
      <c r="C60">
        <f t="shared" si="1"/>
        <v>144.90000000000003</v>
      </c>
      <c r="D60">
        <v>0</v>
      </c>
      <c r="E60">
        <f t="shared" si="2"/>
        <v>141.73200000000003</v>
      </c>
      <c r="F60" s="11">
        <v>0</v>
      </c>
      <c r="G60" s="11">
        <f t="shared" si="3"/>
        <v>92.675999999999988</v>
      </c>
      <c r="H60" s="17">
        <f>25.4*2.1</f>
        <v>53.339999999999996</v>
      </c>
      <c r="I60" s="11">
        <f t="shared" si="0"/>
        <v>150.87599999999998</v>
      </c>
      <c r="J60" s="17">
        <v>0</v>
      </c>
      <c r="K60" s="11">
        <f t="shared" si="4"/>
        <v>105.15600000000002</v>
      </c>
    </row>
    <row r="61" spans="1:11">
      <c r="A61" s="1">
        <v>43611</v>
      </c>
      <c r="B61">
        <v>0</v>
      </c>
      <c r="C61">
        <f t="shared" si="1"/>
        <v>144.90000000000003</v>
      </c>
      <c r="D61">
        <v>2.2859999999999996</v>
      </c>
      <c r="E61">
        <f t="shared" si="2"/>
        <v>144.01800000000003</v>
      </c>
      <c r="F61" s="11">
        <v>0</v>
      </c>
      <c r="G61" s="11">
        <f t="shared" si="3"/>
        <v>92.675999999999988</v>
      </c>
      <c r="H61" s="17">
        <f>25.4*0.85</f>
        <v>21.59</v>
      </c>
      <c r="I61" s="11">
        <f t="shared" si="0"/>
        <v>172.46599999999998</v>
      </c>
      <c r="J61" s="17">
        <v>0</v>
      </c>
      <c r="K61" s="11">
        <f t="shared" si="4"/>
        <v>105.15600000000002</v>
      </c>
    </row>
    <row r="62" spans="1:11">
      <c r="A62" s="1">
        <v>43612</v>
      </c>
      <c r="B62">
        <v>3.4</v>
      </c>
      <c r="C62">
        <f t="shared" si="1"/>
        <v>148.30000000000004</v>
      </c>
      <c r="D62">
        <v>0</v>
      </c>
      <c r="E62">
        <f t="shared" si="2"/>
        <v>144.01800000000003</v>
      </c>
      <c r="F62" s="11">
        <v>0</v>
      </c>
      <c r="G62" s="11">
        <f t="shared" si="3"/>
        <v>92.675999999999988</v>
      </c>
      <c r="H62" s="17">
        <v>0</v>
      </c>
      <c r="I62" s="11">
        <f t="shared" si="0"/>
        <v>172.46599999999998</v>
      </c>
      <c r="J62" s="17">
        <v>0</v>
      </c>
      <c r="K62" s="11">
        <f t="shared" si="4"/>
        <v>105.15600000000002</v>
      </c>
    </row>
    <row r="63" spans="1:11">
      <c r="A63" s="1">
        <v>43613</v>
      </c>
      <c r="B63">
        <v>0</v>
      </c>
      <c r="C63">
        <f t="shared" si="1"/>
        <v>148.30000000000004</v>
      </c>
      <c r="D63">
        <v>2.2859999999999996</v>
      </c>
      <c r="E63">
        <f t="shared" si="2"/>
        <v>146.30400000000003</v>
      </c>
      <c r="F63" s="11">
        <v>0</v>
      </c>
      <c r="G63" s="11">
        <f t="shared" si="3"/>
        <v>92.675999999999988</v>
      </c>
      <c r="H63" s="17">
        <v>0</v>
      </c>
      <c r="I63" s="11">
        <f t="shared" si="0"/>
        <v>172.46599999999998</v>
      </c>
      <c r="J63" s="17">
        <v>0</v>
      </c>
      <c r="K63" s="11">
        <f t="shared" si="4"/>
        <v>105.15600000000002</v>
      </c>
    </row>
    <row r="64" spans="1:11">
      <c r="A64" s="1">
        <v>43614</v>
      </c>
      <c r="B64">
        <v>1.2</v>
      </c>
      <c r="C64">
        <f t="shared" si="1"/>
        <v>149.50000000000003</v>
      </c>
      <c r="D64">
        <v>2.2859999999999996</v>
      </c>
      <c r="E64">
        <f t="shared" si="2"/>
        <v>148.59000000000003</v>
      </c>
      <c r="F64" s="11">
        <v>0</v>
      </c>
      <c r="G64" s="11">
        <f t="shared" si="3"/>
        <v>92.675999999999988</v>
      </c>
      <c r="H64" s="17">
        <v>0</v>
      </c>
      <c r="I64" s="11">
        <f t="shared" si="0"/>
        <v>172.46599999999998</v>
      </c>
      <c r="J64" s="17">
        <v>6.35</v>
      </c>
      <c r="K64" s="11">
        <f t="shared" si="4"/>
        <v>111.50600000000001</v>
      </c>
    </row>
    <row r="65" spans="1:11">
      <c r="A65" s="1">
        <v>43615</v>
      </c>
      <c r="B65">
        <v>25.4</v>
      </c>
      <c r="C65">
        <f t="shared" si="1"/>
        <v>174.90000000000003</v>
      </c>
      <c r="D65">
        <v>16.001999999999999</v>
      </c>
      <c r="E65">
        <f t="shared" si="2"/>
        <v>164.59200000000004</v>
      </c>
      <c r="F65" s="11">
        <v>0</v>
      </c>
      <c r="G65" s="11">
        <f t="shared" si="3"/>
        <v>92.675999999999988</v>
      </c>
      <c r="H65" s="17">
        <v>0</v>
      </c>
      <c r="I65" s="11">
        <f t="shared" si="0"/>
        <v>172.46599999999998</v>
      </c>
      <c r="J65">
        <v>0</v>
      </c>
      <c r="K65" s="11">
        <f t="shared" si="4"/>
        <v>111.50600000000001</v>
      </c>
    </row>
    <row r="66" spans="1:11">
      <c r="A66" s="1">
        <v>43616</v>
      </c>
      <c r="B66">
        <v>0</v>
      </c>
      <c r="C66">
        <f t="shared" si="1"/>
        <v>174.90000000000003</v>
      </c>
      <c r="D66">
        <v>2.54</v>
      </c>
      <c r="E66">
        <f t="shared" si="2"/>
        <v>167.13200000000003</v>
      </c>
      <c r="F66" s="11">
        <v>0</v>
      </c>
      <c r="G66" s="11">
        <f t="shared" si="3"/>
        <v>92.675999999999988</v>
      </c>
      <c r="H66" s="17">
        <v>0</v>
      </c>
      <c r="I66" s="11">
        <f t="shared" si="0"/>
        <v>172.46599999999998</v>
      </c>
      <c r="J66" s="17">
        <v>1.27</v>
      </c>
      <c r="K66" s="11">
        <f t="shared" si="4"/>
        <v>112.77600000000001</v>
      </c>
    </row>
    <row r="67" spans="1:11">
      <c r="A67" s="1">
        <v>43617</v>
      </c>
      <c r="B67">
        <v>0</v>
      </c>
      <c r="C67">
        <f t="shared" si="1"/>
        <v>174.90000000000003</v>
      </c>
      <c r="D67">
        <v>8.8899999999999988</v>
      </c>
      <c r="E67">
        <f t="shared" si="2"/>
        <v>176.02200000000002</v>
      </c>
      <c r="F67">
        <f>25.4*1.33</f>
        <v>33.781999999999996</v>
      </c>
      <c r="G67" s="11">
        <f t="shared" si="3"/>
        <v>126.45799999999998</v>
      </c>
      <c r="H67" s="17">
        <v>0</v>
      </c>
      <c r="I67" s="11">
        <f t="shared" si="0"/>
        <v>172.46599999999998</v>
      </c>
      <c r="J67" s="17">
        <v>0</v>
      </c>
      <c r="K67" s="11">
        <f t="shared" si="4"/>
        <v>112.77600000000001</v>
      </c>
    </row>
    <row r="68" spans="1:11">
      <c r="A68" s="1">
        <v>43618</v>
      </c>
      <c r="B68">
        <v>0</v>
      </c>
      <c r="C68">
        <f t="shared" si="1"/>
        <v>174.90000000000003</v>
      </c>
      <c r="D68">
        <v>0</v>
      </c>
      <c r="E68">
        <f t="shared" si="2"/>
        <v>176.02200000000002</v>
      </c>
      <c r="F68" s="11">
        <v>0</v>
      </c>
      <c r="G68" s="11">
        <f t="shared" si="3"/>
        <v>126.45799999999998</v>
      </c>
      <c r="H68" s="17">
        <v>0</v>
      </c>
      <c r="I68" s="11">
        <f t="shared" si="0"/>
        <v>172.46599999999998</v>
      </c>
      <c r="J68" s="17">
        <v>0</v>
      </c>
      <c r="K68" s="11">
        <f t="shared" si="4"/>
        <v>112.77600000000001</v>
      </c>
    </row>
    <row r="69" spans="1:11">
      <c r="A69" s="1">
        <v>43619</v>
      </c>
      <c r="B69">
        <v>6.2</v>
      </c>
      <c r="C69">
        <f t="shared" si="1"/>
        <v>181.10000000000002</v>
      </c>
      <c r="D69">
        <v>0</v>
      </c>
      <c r="E69">
        <f t="shared" si="2"/>
        <v>176.02200000000002</v>
      </c>
      <c r="F69" s="11">
        <v>0</v>
      </c>
      <c r="G69" s="11">
        <f t="shared" si="3"/>
        <v>126.45799999999998</v>
      </c>
      <c r="H69" s="17">
        <v>0</v>
      </c>
      <c r="I69" s="11">
        <f t="shared" si="0"/>
        <v>172.46599999999998</v>
      </c>
      <c r="J69">
        <v>0</v>
      </c>
      <c r="K69" s="11">
        <f t="shared" si="4"/>
        <v>112.77600000000001</v>
      </c>
    </row>
    <row r="70" spans="1:11">
      <c r="A70" s="1">
        <v>43620</v>
      </c>
      <c r="B70">
        <v>0</v>
      </c>
      <c r="C70">
        <f t="shared" si="1"/>
        <v>181.10000000000002</v>
      </c>
      <c r="D70">
        <v>10.667999999999999</v>
      </c>
      <c r="E70">
        <f t="shared" si="2"/>
        <v>186.69000000000003</v>
      </c>
      <c r="F70">
        <f>0.07*25.4</f>
        <v>1.778</v>
      </c>
      <c r="G70" s="11">
        <f t="shared" si="3"/>
        <v>128.23599999999999</v>
      </c>
      <c r="H70" s="17">
        <v>0</v>
      </c>
      <c r="I70" s="11">
        <f t="shared" si="0"/>
        <v>172.46599999999998</v>
      </c>
      <c r="J70" s="17"/>
      <c r="K70" s="11">
        <f t="shared" si="4"/>
        <v>112.77600000000001</v>
      </c>
    </row>
    <row r="71" spans="1:11">
      <c r="A71" s="1">
        <v>43621</v>
      </c>
      <c r="B71">
        <v>2</v>
      </c>
      <c r="C71">
        <f t="shared" si="1"/>
        <v>183.10000000000002</v>
      </c>
      <c r="D71">
        <v>0</v>
      </c>
      <c r="E71">
        <f t="shared" si="2"/>
        <v>186.69000000000003</v>
      </c>
      <c r="F71" s="11">
        <v>0</v>
      </c>
      <c r="G71" s="11">
        <f t="shared" si="3"/>
        <v>128.23599999999999</v>
      </c>
      <c r="H71" s="17">
        <v>0</v>
      </c>
      <c r="I71" s="11">
        <f t="shared" ref="I71:I96" si="5">H71+I70</f>
        <v>172.46599999999998</v>
      </c>
      <c r="J71" s="17">
        <v>0</v>
      </c>
      <c r="K71" s="11">
        <f t="shared" si="4"/>
        <v>112.77600000000001</v>
      </c>
    </row>
    <row r="72" spans="1:11">
      <c r="A72" s="1">
        <v>43622</v>
      </c>
      <c r="B72">
        <v>16.399999999999999</v>
      </c>
      <c r="C72">
        <f t="shared" ref="C72:C135" si="6">B72+C71</f>
        <v>199.50000000000003</v>
      </c>
      <c r="D72">
        <v>0</v>
      </c>
      <c r="E72">
        <f t="shared" ref="E72:E135" si="7">D72+E71</f>
        <v>186.69000000000003</v>
      </c>
      <c r="F72">
        <f>0.18*25.4</f>
        <v>4.5719999999999992</v>
      </c>
      <c r="G72" s="11">
        <f t="shared" ref="G72:G135" si="8">F72+G71</f>
        <v>132.80799999999999</v>
      </c>
      <c r="H72" s="17">
        <v>0</v>
      </c>
      <c r="I72" s="11">
        <f t="shared" si="5"/>
        <v>172.46599999999998</v>
      </c>
      <c r="J72" s="17">
        <v>0</v>
      </c>
      <c r="K72" s="11">
        <f t="shared" ref="K72:K135" si="9">J72+K71</f>
        <v>112.77600000000001</v>
      </c>
    </row>
    <row r="73" spans="1:11">
      <c r="A73" s="1">
        <v>43623</v>
      </c>
      <c r="B73">
        <v>0</v>
      </c>
      <c r="C73">
        <f t="shared" si="6"/>
        <v>199.50000000000003</v>
      </c>
      <c r="D73">
        <v>0</v>
      </c>
      <c r="E73">
        <f t="shared" si="7"/>
        <v>186.69000000000003</v>
      </c>
      <c r="F73" s="11">
        <v>0</v>
      </c>
      <c r="G73" s="11">
        <f t="shared" si="8"/>
        <v>132.80799999999999</v>
      </c>
      <c r="H73" s="17">
        <v>0</v>
      </c>
      <c r="I73" s="11">
        <f t="shared" si="5"/>
        <v>172.46599999999998</v>
      </c>
      <c r="J73" s="17">
        <v>0</v>
      </c>
      <c r="K73" s="11">
        <f t="shared" si="9"/>
        <v>112.77600000000001</v>
      </c>
    </row>
    <row r="74" spans="1:11">
      <c r="A74" s="1">
        <v>43624</v>
      </c>
      <c r="B74">
        <v>0</v>
      </c>
      <c r="C74">
        <f t="shared" si="6"/>
        <v>199.50000000000003</v>
      </c>
      <c r="D74">
        <v>0</v>
      </c>
      <c r="E74">
        <f t="shared" si="7"/>
        <v>186.69000000000003</v>
      </c>
      <c r="F74" s="11">
        <v>0</v>
      </c>
      <c r="G74" s="11">
        <f t="shared" si="8"/>
        <v>132.80799999999999</v>
      </c>
      <c r="H74" s="17">
        <v>0</v>
      </c>
      <c r="I74" s="11">
        <f t="shared" si="5"/>
        <v>172.46599999999998</v>
      </c>
      <c r="J74" s="17">
        <v>0</v>
      </c>
      <c r="K74" s="11">
        <f t="shared" si="9"/>
        <v>112.77600000000001</v>
      </c>
    </row>
    <row r="75" spans="1:11">
      <c r="A75" s="1">
        <v>43625</v>
      </c>
      <c r="B75">
        <v>0</v>
      </c>
      <c r="C75">
        <f t="shared" si="6"/>
        <v>199.50000000000003</v>
      </c>
      <c r="D75">
        <v>0</v>
      </c>
      <c r="E75">
        <f t="shared" si="7"/>
        <v>186.69000000000003</v>
      </c>
      <c r="F75" s="11">
        <v>0</v>
      </c>
      <c r="G75" s="11">
        <f t="shared" si="8"/>
        <v>132.80799999999999</v>
      </c>
      <c r="H75" s="17">
        <v>0</v>
      </c>
      <c r="I75" s="11">
        <f t="shared" si="5"/>
        <v>172.46599999999998</v>
      </c>
      <c r="J75" s="17">
        <v>0</v>
      </c>
      <c r="K75" s="11">
        <f t="shared" si="9"/>
        <v>112.77600000000001</v>
      </c>
    </row>
    <row r="76" spans="1:11">
      <c r="A76" s="1">
        <v>43626</v>
      </c>
      <c r="B76">
        <v>0</v>
      </c>
      <c r="C76">
        <f t="shared" si="6"/>
        <v>199.50000000000003</v>
      </c>
      <c r="D76">
        <v>0</v>
      </c>
      <c r="E76">
        <f t="shared" si="7"/>
        <v>186.69000000000003</v>
      </c>
      <c r="F76" s="11">
        <v>0</v>
      </c>
      <c r="G76" s="11">
        <f t="shared" si="8"/>
        <v>132.80799999999999</v>
      </c>
      <c r="H76" s="17">
        <v>0</v>
      </c>
      <c r="I76" s="11">
        <f t="shared" si="5"/>
        <v>172.46599999999998</v>
      </c>
      <c r="J76">
        <v>0</v>
      </c>
      <c r="K76" s="11">
        <f t="shared" si="9"/>
        <v>112.77600000000001</v>
      </c>
    </row>
    <row r="77" spans="1:11">
      <c r="A77" s="1">
        <v>43627</v>
      </c>
      <c r="B77">
        <v>4.2</v>
      </c>
      <c r="C77">
        <f t="shared" si="6"/>
        <v>203.70000000000002</v>
      </c>
      <c r="D77">
        <v>0</v>
      </c>
      <c r="E77">
        <f t="shared" si="7"/>
        <v>186.69000000000003</v>
      </c>
      <c r="F77" s="11">
        <v>0</v>
      </c>
      <c r="G77" s="11">
        <f t="shared" si="8"/>
        <v>132.80799999999999</v>
      </c>
      <c r="H77" s="17">
        <v>0</v>
      </c>
      <c r="I77" s="11">
        <f t="shared" si="5"/>
        <v>172.46599999999998</v>
      </c>
      <c r="J77" s="17">
        <v>12.7</v>
      </c>
      <c r="K77" s="11">
        <f t="shared" si="9"/>
        <v>125.47600000000001</v>
      </c>
    </row>
    <row r="78" spans="1:11">
      <c r="A78" s="1">
        <v>43628</v>
      </c>
      <c r="B78">
        <v>0</v>
      </c>
      <c r="C78">
        <f t="shared" si="6"/>
        <v>203.70000000000002</v>
      </c>
      <c r="D78">
        <v>0</v>
      </c>
      <c r="E78">
        <f t="shared" si="7"/>
        <v>186.69000000000003</v>
      </c>
      <c r="F78" s="11">
        <v>0</v>
      </c>
      <c r="G78" s="11">
        <f t="shared" si="8"/>
        <v>132.80799999999999</v>
      </c>
      <c r="H78" s="17">
        <v>0</v>
      </c>
      <c r="I78" s="11">
        <f t="shared" si="5"/>
        <v>172.46599999999998</v>
      </c>
      <c r="J78">
        <v>0</v>
      </c>
      <c r="K78" s="11">
        <f t="shared" si="9"/>
        <v>125.47600000000001</v>
      </c>
    </row>
    <row r="79" spans="1:11">
      <c r="A79" s="1">
        <v>43629</v>
      </c>
      <c r="B79">
        <v>19.2</v>
      </c>
      <c r="C79">
        <f t="shared" si="6"/>
        <v>222.9</v>
      </c>
      <c r="D79">
        <v>0</v>
      </c>
      <c r="E79">
        <f t="shared" si="7"/>
        <v>186.69000000000003</v>
      </c>
      <c r="F79" s="11">
        <v>0</v>
      </c>
      <c r="G79" s="11">
        <f t="shared" si="8"/>
        <v>132.80799999999999</v>
      </c>
      <c r="H79" s="17">
        <v>0</v>
      </c>
      <c r="I79" s="11">
        <f t="shared" si="5"/>
        <v>172.46599999999998</v>
      </c>
      <c r="J79">
        <v>1.27</v>
      </c>
      <c r="K79" s="11">
        <f t="shared" si="9"/>
        <v>126.74600000000001</v>
      </c>
    </row>
    <row r="80" spans="1:11">
      <c r="A80" s="1">
        <v>43630</v>
      </c>
      <c r="B80">
        <v>0</v>
      </c>
      <c r="C80">
        <f t="shared" si="6"/>
        <v>222.9</v>
      </c>
      <c r="D80">
        <v>0</v>
      </c>
      <c r="E80">
        <f t="shared" si="7"/>
        <v>186.69000000000003</v>
      </c>
      <c r="F80" s="11">
        <v>0</v>
      </c>
      <c r="G80" s="11">
        <f t="shared" si="8"/>
        <v>132.80799999999999</v>
      </c>
      <c r="H80" s="17">
        <v>0</v>
      </c>
      <c r="I80" s="11">
        <f t="shared" si="5"/>
        <v>172.46599999999998</v>
      </c>
      <c r="J80">
        <v>3.8099999999999996</v>
      </c>
      <c r="K80" s="11">
        <f t="shared" si="9"/>
        <v>130.55600000000001</v>
      </c>
    </row>
    <row r="81" spans="1:11">
      <c r="A81" s="1">
        <v>43631</v>
      </c>
      <c r="B81">
        <v>0</v>
      </c>
      <c r="C81">
        <f t="shared" si="6"/>
        <v>222.9</v>
      </c>
      <c r="D81">
        <v>9.1439999999999984</v>
      </c>
      <c r="E81">
        <f t="shared" si="7"/>
        <v>195.83400000000003</v>
      </c>
      <c r="F81" s="11">
        <v>0</v>
      </c>
      <c r="G81" s="11">
        <f t="shared" si="8"/>
        <v>132.80799999999999</v>
      </c>
      <c r="H81" s="17">
        <v>0</v>
      </c>
      <c r="I81" s="11">
        <f t="shared" si="5"/>
        <v>172.46599999999998</v>
      </c>
      <c r="J81">
        <v>2.54</v>
      </c>
      <c r="K81" s="11">
        <f t="shared" si="9"/>
        <v>133.096</v>
      </c>
    </row>
    <row r="82" spans="1:11">
      <c r="A82" s="1">
        <v>43632</v>
      </c>
      <c r="B82">
        <v>2</v>
      </c>
      <c r="C82">
        <f t="shared" si="6"/>
        <v>224.9</v>
      </c>
      <c r="D82">
        <v>2.54</v>
      </c>
      <c r="E82">
        <f t="shared" si="7"/>
        <v>198.37400000000002</v>
      </c>
      <c r="F82" s="11">
        <v>0</v>
      </c>
      <c r="G82" s="11">
        <f t="shared" si="8"/>
        <v>132.80799999999999</v>
      </c>
      <c r="H82" s="17">
        <v>0</v>
      </c>
      <c r="I82" s="11">
        <f t="shared" si="5"/>
        <v>172.46599999999998</v>
      </c>
      <c r="J82">
        <v>0</v>
      </c>
      <c r="K82" s="11">
        <f t="shared" si="9"/>
        <v>133.096</v>
      </c>
    </row>
    <row r="83" spans="1:11">
      <c r="A83" s="1">
        <v>43633</v>
      </c>
      <c r="B83">
        <v>0</v>
      </c>
      <c r="C83">
        <f t="shared" si="6"/>
        <v>224.9</v>
      </c>
      <c r="D83">
        <v>58.165999999999997</v>
      </c>
      <c r="E83">
        <f t="shared" si="7"/>
        <v>256.54000000000002</v>
      </c>
      <c r="F83">
        <f>0.29*25.4</f>
        <v>7.3659999999999988</v>
      </c>
      <c r="G83" s="11">
        <f t="shared" si="8"/>
        <v>140.17399999999998</v>
      </c>
      <c r="H83" s="17">
        <v>1.27</v>
      </c>
      <c r="I83" s="11">
        <f t="shared" si="5"/>
        <v>173.73599999999999</v>
      </c>
      <c r="J83">
        <v>23.622</v>
      </c>
      <c r="K83" s="11">
        <f t="shared" si="9"/>
        <v>156.71800000000002</v>
      </c>
    </row>
    <row r="84" spans="1:11">
      <c r="A84" s="1">
        <v>43634</v>
      </c>
      <c r="B84">
        <v>0</v>
      </c>
      <c r="C84">
        <f t="shared" si="6"/>
        <v>224.9</v>
      </c>
      <c r="D84">
        <v>328.42199999999997</v>
      </c>
      <c r="E84">
        <f t="shared" si="7"/>
        <v>584.96199999999999</v>
      </c>
      <c r="F84" s="11">
        <v>0</v>
      </c>
      <c r="G84" s="11">
        <f t="shared" si="8"/>
        <v>140.17399999999998</v>
      </c>
      <c r="H84">
        <v>0</v>
      </c>
      <c r="I84" s="11">
        <f t="shared" si="5"/>
        <v>173.73599999999999</v>
      </c>
      <c r="J84">
        <v>10.16</v>
      </c>
      <c r="K84" s="11">
        <f t="shared" si="9"/>
        <v>166.87800000000001</v>
      </c>
    </row>
    <row r="85" spans="1:11">
      <c r="A85" s="1">
        <v>43635</v>
      </c>
      <c r="B85">
        <v>0</v>
      </c>
      <c r="C85">
        <f t="shared" si="6"/>
        <v>224.9</v>
      </c>
      <c r="D85">
        <v>75.438000000000002</v>
      </c>
      <c r="E85">
        <f t="shared" si="7"/>
        <v>660.4</v>
      </c>
      <c r="F85" s="11">
        <v>0</v>
      </c>
      <c r="G85" s="11">
        <f t="shared" si="8"/>
        <v>140.17399999999998</v>
      </c>
      <c r="H85" s="17">
        <v>0</v>
      </c>
      <c r="I85" s="11">
        <f t="shared" si="5"/>
        <v>173.73599999999999</v>
      </c>
      <c r="J85">
        <v>1.016</v>
      </c>
      <c r="K85" s="11">
        <f t="shared" si="9"/>
        <v>167.89400000000001</v>
      </c>
    </row>
    <row r="86" spans="1:11">
      <c r="A86" s="1">
        <v>43636</v>
      </c>
      <c r="B86">
        <v>6.8</v>
      </c>
      <c r="C86">
        <f t="shared" si="6"/>
        <v>231.70000000000002</v>
      </c>
      <c r="D86">
        <v>0</v>
      </c>
      <c r="E86">
        <f t="shared" si="7"/>
        <v>660.4</v>
      </c>
      <c r="F86">
        <f>25.4*0.12</f>
        <v>3.0479999999999996</v>
      </c>
      <c r="G86" s="11">
        <f t="shared" si="8"/>
        <v>143.22199999999998</v>
      </c>
      <c r="H86" s="17">
        <v>0</v>
      </c>
      <c r="I86" s="11">
        <f t="shared" si="5"/>
        <v>173.73599999999999</v>
      </c>
      <c r="J86">
        <v>0</v>
      </c>
      <c r="K86" s="11">
        <f t="shared" si="9"/>
        <v>167.89400000000001</v>
      </c>
    </row>
    <row r="87" spans="1:11">
      <c r="A87" s="1">
        <v>43637</v>
      </c>
      <c r="B87">
        <v>10.6</v>
      </c>
      <c r="C87">
        <f t="shared" si="6"/>
        <v>242.3</v>
      </c>
      <c r="D87">
        <v>0</v>
      </c>
      <c r="E87">
        <f t="shared" si="7"/>
        <v>660.4</v>
      </c>
      <c r="F87" s="11">
        <v>0</v>
      </c>
      <c r="G87" s="11">
        <f t="shared" si="8"/>
        <v>143.22199999999998</v>
      </c>
      <c r="H87" s="17">
        <v>0</v>
      </c>
      <c r="I87" s="11">
        <f t="shared" si="5"/>
        <v>173.73599999999999</v>
      </c>
      <c r="J87">
        <v>23.367999999999999</v>
      </c>
      <c r="K87" s="11">
        <f t="shared" si="9"/>
        <v>191.262</v>
      </c>
    </row>
    <row r="88" spans="1:11">
      <c r="A88" s="1">
        <v>43638</v>
      </c>
      <c r="B88">
        <v>0</v>
      </c>
      <c r="C88">
        <f t="shared" si="6"/>
        <v>242.3</v>
      </c>
      <c r="D88">
        <v>3.556</v>
      </c>
      <c r="E88">
        <f t="shared" si="7"/>
        <v>663.95600000000002</v>
      </c>
      <c r="F88" s="11">
        <v>0</v>
      </c>
      <c r="G88" s="11">
        <f t="shared" si="8"/>
        <v>143.22199999999998</v>
      </c>
      <c r="H88" s="17">
        <f>25.4*0.65</f>
        <v>16.509999999999998</v>
      </c>
      <c r="I88" s="11">
        <f t="shared" si="5"/>
        <v>190.24599999999998</v>
      </c>
      <c r="J88">
        <v>0</v>
      </c>
      <c r="K88" s="11">
        <f t="shared" si="9"/>
        <v>191.262</v>
      </c>
    </row>
    <row r="89" spans="1:11">
      <c r="A89" s="1">
        <v>43639</v>
      </c>
      <c r="B89">
        <v>6</v>
      </c>
      <c r="C89">
        <f t="shared" si="6"/>
        <v>248.3</v>
      </c>
      <c r="D89">
        <v>8.3819999999999997</v>
      </c>
      <c r="E89">
        <f t="shared" si="7"/>
        <v>672.33799999999997</v>
      </c>
      <c r="F89" s="11">
        <f>0.4*25.4</f>
        <v>10.16</v>
      </c>
      <c r="G89" s="11">
        <f t="shared" si="8"/>
        <v>153.38199999999998</v>
      </c>
      <c r="H89" s="17">
        <v>0</v>
      </c>
      <c r="I89" s="11">
        <f t="shared" si="5"/>
        <v>190.24599999999998</v>
      </c>
      <c r="J89">
        <v>0</v>
      </c>
      <c r="K89" s="11">
        <f t="shared" si="9"/>
        <v>191.262</v>
      </c>
    </row>
    <row r="90" spans="1:11">
      <c r="A90" s="1">
        <v>43640</v>
      </c>
      <c r="B90">
        <v>6.2</v>
      </c>
      <c r="C90">
        <f t="shared" si="6"/>
        <v>254.5</v>
      </c>
      <c r="D90">
        <v>25.4</v>
      </c>
      <c r="E90">
        <f t="shared" si="7"/>
        <v>697.73799999999994</v>
      </c>
      <c r="F90" s="11">
        <v>0</v>
      </c>
      <c r="G90" s="11">
        <f t="shared" si="8"/>
        <v>153.38199999999998</v>
      </c>
      <c r="H90">
        <f>0.06*25.4</f>
        <v>1.5239999999999998</v>
      </c>
      <c r="I90" s="11">
        <f t="shared" si="5"/>
        <v>191.76999999999998</v>
      </c>
      <c r="J90">
        <v>0</v>
      </c>
      <c r="K90" s="11">
        <f t="shared" si="9"/>
        <v>191.262</v>
      </c>
    </row>
    <row r="91" spans="1:11">
      <c r="A91" s="1">
        <v>43641</v>
      </c>
      <c r="B91">
        <v>0</v>
      </c>
      <c r="C91">
        <f t="shared" si="6"/>
        <v>254.5</v>
      </c>
      <c r="D91">
        <v>24.13</v>
      </c>
      <c r="E91">
        <f t="shared" si="7"/>
        <v>721.86799999999994</v>
      </c>
      <c r="F91" s="11">
        <v>0</v>
      </c>
      <c r="G91" s="11">
        <f t="shared" si="8"/>
        <v>153.38199999999998</v>
      </c>
      <c r="H91">
        <f>0.2*25.4</f>
        <v>5.08</v>
      </c>
      <c r="I91" s="11">
        <f t="shared" si="5"/>
        <v>196.85</v>
      </c>
      <c r="J91">
        <v>14.477999999999998</v>
      </c>
      <c r="K91" s="11">
        <f t="shared" si="9"/>
        <v>205.74</v>
      </c>
    </row>
    <row r="92" spans="1:11">
      <c r="A92" s="1">
        <v>43642</v>
      </c>
      <c r="B92">
        <v>0</v>
      </c>
      <c r="C92">
        <f t="shared" si="6"/>
        <v>254.5</v>
      </c>
      <c r="D92">
        <v>49.275999999999996</v>
      </c>
      <c r="E92">
        <f t="shared" si="7"/>
        <v>771.14399999999989</v>
      </c>
      <c r="F92" s="11">
        <v>0</v>
      </c>
      <c r="G92" s="11">
        <f t="shared" si="8"/>
        <v>153.38199999999998</v>
      </c>
      <c r="H92">
        <f>25.4*0.22</f>
        <v>5.5880000000000001</v>
      </c>
      <c r="I92" s="11">
        <f t="shared" si="5"/>
        <v>202.43799999999999</v>
      </c>
      <c r="J92">
        <v>0</v>
      </c>
      <c r="K92" s="11">
        <f t="shared" si="9"/>
        <v>205.74</v>
      </c>
    </row>
    <row r="93" spans="1:11">
      <c r="A93" s="1">
        <v>43643</v>
      </c>
      <c r="B93">
        <v>0</v>
      </c>
      <c r="C93">
        <f t="shared" si="6"/>
        <v>254.5</v>
      </c>
      <c r="D93">
        <v>0</v>
      </c>
      <c r="E93">
        <f t="shared" si="7"/>
        <v>771.14399999999989</v>
      </c>
      <c r="F93" s="11">
        <v>0</v>
      </c>
      <c r="G93" s="11">
        <f t="shared" si="8"/>
        <v>153.38199999999998</v>
      </c>
      <c r="H93">
        <f>0.49*25.4</f>
        <v>12.446</v>
      </c>
      <c r="I93" s="11">
        <f t="shared" si="5"/>
        <v>214.88399999999999</v>
      </c>
      <c r="J93">
        <v>0</v>
      </c>
      <c r="K93" s="11">
        <f t="shared" si="9"/>
        <v>205.74</v>
      </c>
    </row>
    <row r="94" spans="1:11">
      <c r="A94" s="1">
        <v>43644</v>
      </c>
      <c r="B94">
        <v>0</v>
      </c>
      <c r="C94">
        <f t="shared" si="6"/>
        <v>254.5</v>
      </c>
      <c r="D94">
        <v>33.781999999999996</v>
      </c>
      <c r="E94">
        <f t="shared" si="7"/>
        <v>804.92599999999993</v>
      </c>
      <c r="F94" s="11">
        <v>0</v>
      </c>
      <c r="G94" s="11">
        <f t="shared" si="8"/>
        <v>153.38199999999998</v>
      </c>
      <c r="H94" s="17">
        <v>0</v>
      </c>
      <c r="I94" s="11">
        <f t="shared" si="5"/>
        <v>214.88399999999999</v>
      </c>
      <c r="J94">
        <v>0</v>
      </c>
      <c r="K94" s="11">
        <f t="shared" si="9"/>
        <v>205.74</v>
      </c>
    </row>
    <row r="95" spans="1:11">
      <c r="A95" s="1">
        <v>43645</v>
      </c>
      <c r="B95">
        <v>21</v>
      </c>
      <c r="C95">
        <f t="shared" si="6"/>
        <v>275.5</v>
      </c>
      <c r="D95">
        <v>63.246000000000002</v>
      </c>
      <c r="E95">
        <f t="shared" si="7"/>
        <v>868.17199999999991</v>
      </c>
      <c r="F95" s="11">
        <f>25.4*0.73</f>
        <v>18.541999999999998</v>
      </c>
      <c r="G95" s="11">
        <f t="shared" si="8"/>
        <v>171.92399999999998</v>
      </c>
      <c r="H95">
        <f>0.38*25.4</f>
        <v>9.6519999999999992</v>
      </c>
      <c r="I95" s="11">
        <f t="shared" si="5"/>
        <v>224.53599999999997</v>
      </c>
      <c r="J95">
        <v>0</v>
      </c>
      <c r="K95" s="11">
        <f t="shared" si="9"/>
        <v>205.74</v>
      </c>
    </row>
    <row r="96" spans="1:11">
      <c r="A96" s="1">
        <v>43646</v>
      </c>
      <c r="B96">
        <v>0</v>
      </c>
      <c r="C96">
        <f t="shared" si="6"/>
        <v>275.5</v>
      </c>
      <c r="D96">
        <v>96.52</v>
      </c>
      <c r="E96">
        <f t="shared" si="7"/>
        <v>964.69199999999989</v>
      </c>
      <c r="F96">
        <f>25.4*0.04</f>
        <v>1.016</v>
      </c>
      <c r="G96" s="11">
        <f t="shared" si="8"/>
        <v>172.93999999999997</v>
      </c>
      <c r="H96" s="17">
        <v>0</v>
      </c>
      <c r="I96" s="11">
        <f t="shared" si="5"/>
        <v>224.53599999999997</v>
      </c>
      <c r="J96">
        <v>0</v>
      </c>
      <c r="K96" s="11">
        <f t="shared" si="9"/>
        <v>205.74</v>
      </c>
    </row>
    <row r="97" spans="1:11">
      <c r="A97" s="1">
        <v>43647</v>
      </c>
      <c r="B97">
        <v>15.2</v>
      </c>
      <c r="C97">
        <f t="shared" si="6"/>
        <v>290.7</v>
      </c>
      <c r="D97">
        <v>3.556</v>
      </c>
      <c r="E97">
        <f t="shared" si="7"/>
        <v>968.24799999999993</v>
      </c>
      <c r="F97">
        <f>25.4*0.05</f>
        <v>1.27</v>
      </c>
      <c r="G97" s="11">
        <f t="shared" si="8"/>
        <v>174.20999999999998</v>
      </c>
      <c r="H97" s="17">
        <v>0</v>
      </c>
      <c r="I97" s="11">
        <v>248.41199999999998</v>
      </c>
      <c r="J97">
        <v>0.50800000000000001</v>
      </c>
      <c r="K97" s="11">
        <f t="shared" si="9"/>
        <v>206.24800000000002</v>
      </c>
    </row>
    <row r="98" spans="1:11">
      <c r="A98" s="1">
        <v>43648</v>
      </c>
      <c r="B98">
        <v>0</v>
      </c>
      <c r="C98">
        <f t="shared" si="6"/>
        <v>290.7</v>
      </c>
      <c r="D98">
        <v>15.747999999999999</v>
      </c>
      <c r="E98">
        <f t="shared" si="7"/>
        <v>983.99599999999998</v>
      </c>
      <c r="F98">
        <f>25.4*0.28</f>
        <v>7.1120000000000001</v>
      </c>
      <c r="G98" s="11">
        <f t="shared" si="8"/>
        <v>181.32199999999997</v>
      </c>
      <c r="H98" s="17">
        <v>0</v>
      </c>
      <c r="I98" s="11">
        <v>248.41199999999998</v>
      </c>
      <c r="J98">
        <v>7.6199999999999992</v>
      </c>
      <c r="K98" s="11">
        <f t="shared" si="9"/>
        <v>213.86800000000002</v>
      </c>
    </row>
    <row r="99" spans="1:11">
      <c r="A99" s="1">
        <v>43649</v>
      </c>
      <c r="B99">
        <v>15.2</v>
      </c>
      <c r="C99">
        <f t="shared" si="6"/>
        <v>305.89999999999998</v>
      </c>
      <c r="D99">
        <v>8.1280000000000001</v>
      </c>
      <c r="E99">
        <f t="shared" si="7"/>
        <v>992.12400000000002</v>
      </c>
      <c r="F99">
        <f>25.4*0.61</f>
        <v>15.493999999999998</v>
      </c>
      <c r="G99" s="11">
        <f t="shared" si="8"/>
        <v>196.81599999999997</v>
      </c>
      <c r="H99" s="17">
        <v>0</v>
      </c>
      <c r="I99" s="11">
        <v>248.41199999999998</v>
      </c>
      <c r="J99">
        <v>0.7619999999999999</v>
      </c>
      <c r="K99" s="11">
        <f t="shared" si="9"/>
        <v>214.63000000000002</v>
      </c>
    </row>
    <row r="100" spans="1:11">
      <c r="A100" s="1">
        <v>43650</v>
      </c>
      <c r="B100">
        <v>3.4</v>
      </c>
      <c r="C100">
        <f t="shared" si="6"/>
        <v>309.29999999999995</v>
      </c>
      <c r="D100">
        <v>5.08</v>
      </c>
      <c r="E100">
        <f t="shared" si="7"/>
        <v>997.20400000000006</v>
      </c>
      <c r="F100" s="11">
        <v>0</v>
      </c>
      <c r="G100" s="11">
        <f t="shared" si="8"/>
        <v>196.81599999999997</v>
      </c>
      <c r="H100" s="17">
        <v>0</v>
      </c>
      <c r="I100" s="11">
        <v>248.41199999999998</v>
      </c>
      <c r="J100">
        <v>1.27</v>
      </c>
      <c r="K100" s="11">
        <f t="shared" si="9"/>
        <v>215.90000000000003</v>
      </c>
    </row>
    <row r="101" spans="1:11">
      <c r="A101" s="1">
        <v>43651</v>
      </c>
      <c r="B101">
        <v>22.9</v>
      </c>
      <c r="C101">
        <f t="shared" si="6"/>
        <v>332.19999999999993</v>
      </c>
      <c r="D101">
        <v>17.018000000000001</v>
      </c>
      <c r="E101">
        <f t="shared" si="7"/>
        <v>1014.2220000000001</v>
      </c>
      <c r="F101" s="11">
        <v>0</v>
      </c>
      <c r="G101" s="11">
        <f t="shared" si="8"/>
        <v>196.81599999999997</v>
      </c>
      <c r="H101">
        <v>3.8099999999999996</v>
      </c>
      <c r="I101" s="11">
        <v>252.22199999999998</v>
      </c>
      <c r="J101">
        <v>4.8259999999999996</v>
      </c>
      <c r="K101" s="11">
        <f t="shared" si="9"/>
        <v>220.72600000000003</v>
      </c>
    </row>
    <row r="102" spans="1:11">
      <c r="A102" s="1">
        <v>43652</v>
      </c>
      <c r="B102">
        <v>55.7</v>
      </c>
      <c r="C102">
        <f t="shared" si="6"/>
        <v>387.89999999999992</v>
      </c>
      <c r="D102">
        <v>13.715999999999999</v>
      </c>
      <c r="E102">
        <f t="shared" si="7"/>
        <v>1027.9380000000001</v>
      </c>
      <c r="F102" s="11">
        <v>0</v>
      </c>
      <c r="G102" s="11">
        <f t="shared" si="8"/>
        <v>196.81599999999997</v>
      </c>
      <c r="H102">
        <v>3.556</v>
      </c>
      <c r="I102">
        <v>255.77799999999999</v>
      </c>
      <c r="J102">
        <v>1.778</v>
      </c>
      <c r="K102" s="11">
        <f t="shared" si="9"/>
        <v>222.50400000000002</v>
      </c>
    </row>
    <row r="103" spans="1:11">
      <c r="A103" s="1">
        <v>43653</v>
      </c>
      <c r="B103">
        <v>0</v>
      </c>
      <c r="C103">
        <f t="shared" si="6"/>
        <v>387.89999999999992</v>
      </c>
      <c r="D103">
        <v>25.4</v>
      </c>
      <c r="E103">
        <f t="shared" si="7"/>
        <v>1053.3380000000002</v>
      </c>
      <c r="F103" s="11">
        <v>0</v>
      </c>
      <c r="G103" s="11">
        <f t="shared" si="8"/>
        <v>196.81599999999997</v>
      </c>
      <c r="H103">
        <v>0</v>
      </c>
      <c r="I103">
        <v>255.77799999999999</v>
      </c>
      <c r="J103">
        <v>19.049999999999997</v>
      </c>
      <c r="K103" s="11">
        <f t="shared" si="9"/>
        <v>241.55400000000003</v>
      </c>
    </row>
    <row r="104" spans="1:11">
      <c r="A104" s="1">
        <v>43654</v>
      </c>
      <c r="B104">
        <v>7</v>
      </c>
      <c r="C104">
        <f t="shared" si="6"/>
        <v>394.89999999999992</v>
      </c>
      <c r="D104">
        <v>42.671999999999997</v>
      </c>
      <c r="E104">
        <f t="shared" si="7"/>
        <v>1096.0100000000002</v>
      </c>
      <c r="F104" s="11">
        <v>0</v>
      </c>
      <c r="G104" s="11">
        <f t="shared" si="8"/>
        <v>196.81599999999997</v>
      </c>
      <c r="H104">
        <v>0</v>
      </c>
      <c r="I104">
        <v>255.77799999999999</v>
      </c>
      <c r="J104">
        <v>2.032</v>
      </c>
      <c r="K104" s="11">
        <f t="shared" si="9"/>
        <v>243.58600000000004</v>
      </c>
    </row>
    <row r="105" spans="1:11">
      <c r="A105" s="1">
        <v>43655</v>
      </c>
      <c r="B105">
        <v>19</v>
      </c>
      <c r="C105">
        <f t="shared" si="6"/>
        <v>413.89999999999992</v>
      </c>
      <c r="D105">
        <v>78.739999999999995</v>
      </c>
      <c r="E105">
        <f t="shared" si="7"/>
        <v>1174.7500000000002</v>
      </c>
      <c r="F105" s="11">
        <v>0</v>
      </c>
      <c r="G105" s="11">
        <f t="shared" si="8"/>
        <v>196.81599999999997</v>
      </c>
      <c r="H105">
        <v>0</v>
      </c>
      <c r="I105">
        <v>255.77799999999999</v>
      </c>
      <c r="J105">
        <v>2.036</v>
      </c>
      <c r="K105" s="11">
        <f t="shared" si="9"/>
        <v>245.62200000000004</v>
      </c>
    </row>
    <row r="106" spans="1:11">
      <c r="A106" s="1">
        <v>43656</v>
      </c>
      <c r="B106">
        <v>22.2</v>
      </c>
      <c r="C106">
        <f t="shared" si="6"/>
        <v>436.09999999999991</v>
      </c>
      <c r="D106">
        <v>20.827999999999996</v>
      </c>
      <c r="E106">
        <f t="shared" si="7"/>
        <v>1195.5780000000002</v>
      </c>
      <c r="F106" s="11">
        <v>0</v>
      </c>
      <c r="G106" s="11">
        <f t="shared" si="8"/>
        <v>196.81599999999997</v>
      </c>
      <c r="H106">
        <v>0</v>
      </c>
      <c r="I106">
        <v>255.77799999999999</v>
      </c>
      <c r="J106">
        <v>0.50800000000000001</v>
      </c>
      <c r="K106" s="11">
        <f t="shared" si="9"/>
        <v>246.13000000000005</v>
      </c>
    </row>
    <row r="107" spans="1:11">
      <c r="A107" s="1">
        <v>43657</v>
      </c>
      <c r="B107">
        <v>0</v>
      </c>
      <c r="C107">
        <f t="shared" si="6"/>
        <v>436.09999999999991</v>
      </c>
      <c r="D107">
        <v>4.0640000000000001</v>
      </c>
      <c r="E107">
        <f t="shared" si="7"/>
        <v>1199.6420000000003</v>
      </c>
      <c r="F107" s="11">
        <v>0</v>
      </c>
      <c r="G107" s="11">
        <f t="shared" si="8"/>
        <v>196.81599999999997</v>
      </c>
      <c r="H107">
        <v>0</v>
      </c>
      <c r="I107">
        <v>255.77799999999999</v>
      </c>
      <c r="J107">
        <v>0</v>
      </c>
      <c r="K107" s="11">
        <f t="shared" si="9"/>
        <v>246.13000000000005</v>
      </c>
    </row>
    <row r="108" spans="1:11">
      <c r="A108" s="1">
        <v>43658</v>
      </c>
      <c r="B108">
        <v>0</v>
      </c>
      <c r="C108">
        <f t="shared" si="6"/>
        <v>436.09999999999991</v>
      </c>
      <c r="D108">
        <v>4.5719999999999992</v>
      </c>
      <c r="E108">
        <f t="shared" si="7"/>
        <v>1204.2140000000002</v>
      </c>
      <c r="F108">
        <f>25.4*0.4</f>
        <v>10.16</v>
      </c>
      <c r="G108" s="11">
        <f t="shared" si="8"/>
        <v>206.97599999999997</v>
      </c>
      <c r="H108">
        <v>0</v>
      </c>
      <c r="I108">
        <v>255.77799999999999</v>
      </c>
      <c r="J108">
        <v>3.302</v>
      </c>
      <c r="K108" s="11">
        <f t="shared" si="9"/>
        <v>249.43200000000004</v>
      </c>
    </row>
    <row r="109" spans="1:11">
      <c r="A109" s="1">
        <v>43659</v>
      </c>
      <c r="B109">
        <v>0</v>
      </c>
      <c r="C109">
        <f t="shared" si="6"/>
        <v>436.09999999999991</v>
      </c>
      <c r="D109">
        <v>86.105999999999995</v>
      </c>
      <c r="E109">
        <f t="shared" si="7"/>
        <v>1290.3200000000002</v>
      </c>
      <c r="F109">
        <f>25.4*0.07</f>
        <v>1.778</v>
      </c>
      <c r="G109" s="11">
        <f t="shared" si="8"/>
        <v>208.75399999999996</v>
      </c>
      <c r="H109">
        <v>0</v>
      </c>
      <c r="I109">
        <v>255.77799999999999</v>
      </c>
      <c r="J109">
        <v>1.5239999999999998</v>
      </c>
      <c r="K109" s="11">
        <f t="shared" si="9"/>
        <v>250.95600000000005</v>
      </c>
    </row>
    <row r="110" spans="1:11">
      <c r="A110" s="1">
        <v>43660</v>
      </c>
      <c r="B110">
        <v>0</v>
      </c>
      <c r="C110">
        <f t="shared" si="6"/>
        <v>436.09999999999991</v>
      </c>
      <c r="D110">
        <v>79.501999999999995</v>
      </c>
      <c r="E110">
        <f t="shared" si="7"/>
        <v>1369.8220000000001</v>
      </c>
      <c r="F110" s="11">
        <v>0</v>
      </c>
      <c r="G110" s="11">
        <f t="shared" si="8"/>
        <v>208.75399999999996</v>
      </c>
      <c r="H110">
        <v>0.13</v>
      </c>
      <c r="I110">
        <v>255.90799999999999</v>
      </c>
      <c r="J110">
        <v>4.0640000000000001</v>
      </c>
      <c r="K110" s="11">
        <f t="shared" si="9"/>
        <v>255.02000000000004</v>
      </c>
    </row>
    <row r="111" spans="1:11">
      <c r="A111" s="1">
        <v>43661</v>
      </c>
      <c r="B111">
        <v>11.2</v>
      </c>
      <c r="C111">
        <f t="shared" si="6"/>
        <v>447.2999999999999</v>
      </c>
      <c r="D111">
        <v>0</v>
      </c>
      <c r="E111">
        <f t="shared" si="7"/>
        <v>1369.8220000000001</v>
      </c>
      <c r="F111">
        <f>0.41*25.4</f>
        <v>10.413999999999998</v>
      </c>
      <c r="G111" s="11">
        <f t="shared" si="8"/>
        <v>219.16799999999995</v>
      </c>
      <c r="H111">
        <f>25.4*0.33</f>
        <v>8.3819999999999997</v>
      </c>
      <c r="I111" s="11">
        <f t="shared" ref="I111:I117" si="10">H111+I110</f>
        <v>264.28999999999996</v>
      </c>
      <c r="J111">
        <v>3.0479999999999996</v>
      </c>
      <c r="K111" s="11">
        <f t="shared" si="9"/>
        <v>258.06800000000004</v>
      </c>
    </row>
    <row r="112" spans="1:11">
      <c r="A112" s="1">
        <v>43662</v>
      </c>
      <c r="B112">
        <v>45.5</v>
      </c>
      <c r="C112">
        <f t="shared" si="6"/>
        <v>492.7999999999999</v>
      </c>
      <c r="D112">
        <v>11.683999999999999</v>
      </c>
      <c r="E112">
        <f t="shared" si="7"/>
        <v>1381.5060000000001</v>
      </c>
      <c r="F112">
        <f>25.4*0.7</f>
        <v>17.779999999999998</v>
      </c>
      <c r="G112" s="11">
        <f t="shared" si="8"/>
        <v>236.94799999999995</v>
      </c>
      <c r="H112">
        <f>0.24*25.4</f>
        <v>6.0959999999999992</v>
      </c>
      <c r="I112" s="11">
        <f t="shared" si="10"/>
        <v>270.38599999999997</v>
      </c>
      <c r="J112">
        <v>0</v>
      </c>
      <c r="K112" s="11">
        <f t="shared" si="9"/>
        <v>258.06800000000004</v>
      </c>
    </row>
    <row r="113" spans="1:11">
      <c r="A113" s="1">
        <v>43663</v>
      </c>
      <c r="B113">
        <v>16.399999999999999</v>
      </c>
      <c r="C113">
        <f t="shared" si="6"/>
        <v>509.19999999999987</v>
      </c>
      <c r="D113">
        <v>0</v>
      </c>
      <c r="E113">
        <f t="shared" si="7"/>
        <v>1381.5060000000001</v>
      </c>
      <c r="F113" s="11">
        <v>0</v>
      </c>
      <c r="G113" s="11">
        <f t="shared" si="8"/>
        <v>236.94799999999995</v>
      </c>
      <c r="H113" s="17">
        <v>0</v>
      </c>
      <c r="I113" s="11">
        <f t="shared" si="10"/>
        <v>270.38599999999997</v>
      </c>
      <c r="J113">
        <v>11.176</v>
      </c>
      <c r="K113" s="11">
        <f t="shared" si="9"/>
        <v>269.24400000000003</v>
      </c>
    </row>
    <row r="114" spans="1:11">
      <c r="A114" s="1">
        <v>43664</v>
      </c>
      <c r="B114">
        <v>5</v>
      </c>
      <c r="C114">
        <f t="shared" si="6"/>
        <v>514.19999999999982</v>
      </c>
      <c r="D114">
        <v>0</v>
      </c>
      <c r="E114">
        <f t="shared" si="7"/>
        <v>1381.5060000000001</v>
      </c>
      <c r="F114" s="11">
        <v>0</v>
      </c>
      <c r="G114" s="11">
        <f t="shared" si="8"/>
        <v>236.94799999999995</v>
      </c>
      <c r="H114">
        <f>25.4*0.24</f>
        <v>6.0959999999999992</v>
      </c>
      <c r="I114" s="11">
        <f t="shared" si="10"/>
        <v>276.48199999999997</v>
      </c>
      <c r="J114">
        <v>0</v>
      </c>
      <c r="K114" s="11">
        <f t="shared" si="9"/>
        <v>269.24400000000003</v>
      </c>
    </row>
    <row r="115" spans="1:11">
      <c r="A115" s="1">
        <v>43665</v>
      </c>
      <c r="B115">
        <v>0</v>
      </c>
      <c r="C115">
        <f t="shared" si="6"/>
        <v>514.19999999999982</v>
      </c>
      <c r="D115">
        <v>10.413999999999998</v>
      </c>
      <c r="E115">
        <f t="shared" si="7"/>
        <v>1391.92</v>
      </c>
      <c r="F115">
        <f>25.4*0.28</f>
        <v>7.1120000000000001</v>
      </c>
      <c r="G115" s="11">
        <f t="shared" si="8"/>
        <v>244.05999999999995</v>
      </c>
      <c r="H115" s="17">
        <v>0</v>
      </c>
      <c r="I115" s="11">
        <f t="shared" si="10"/>
        <v>276.48199999999997</v>
      </c>
      <c r="J115">
        <v>0</v>
      </c>
      <c r="K115" s="11">
        <f t="shared" si="9"/>
        <v>269.24400000000003</v>
      </c>
    </row>
    <row r="116" spans="1:11">
      <c r="A116" s="1">
        <v>43666</v>
      </c>
      <c r="B116">
        <v>30</v>
      </c>
      <c r="C116">
        <f t="shared" si="6"/>
        <v>544.19999999999982</v>
      </c>
      <c r="D116">
        <v>13.208</v>
      </c>
      <c r="E116">
        <f t="shared" si="7"/>
        <v>1405.1280000000002</v>
      </c>
      <c r="F116">
        <f>0.5*25.4</f>
        <v>12.7</v>
      </c>
      <c r="G116" s="11">
        <f t="shared" si="8"/>
        <v>256.75999999999993</v>
      </c>
      <c r="H116">
        <f>0.17*25.4</f>
        <v>4.3180000000000005</v>
      </c>
      <c r="I116" s="11">
        <f t="shared" si="10"/>
        <v>280.79999999999995</v>
      </c>
      <c r="J116">
        <v>0</v>
      </c>
      <c r="K116" s="11">
        <f t="shared" si="9"/>
        <v>269.24400000000003</v>
      </c>
    </row>
    <row r="117" spans="1:11">
      <c r="A117" s="1">
        <v>43667</v>
      </c>
      <c r="B117">
        <v>19.8</v>
      </c>
      <c r="C117">
        <f t="shared" si="6"/>
        <v>563.99999999999977</v>
      </c>
      <c r="D117">
        <v>0</v>
      </c>
      <c r="E117">
        <f t="shared" si="7"/>
        <v>1405.1280000000002</v>
      </c>
      <c r="F117">
        <f>0.27*25.4</f>
        <v>6.8579999999999997</v>
      </c>
      <c r="G117" s="11">
        <f t="shared" si="8"/>
        <v>263.61799999999994</v>
      </c>
      <c r="H117">
        <f>0.28*25.4</f>
        <v>7.1120000000000001</v>
      </c>
      <c r="I117" s="11">
        <f t="shared" si="10"/>
        <v>287.91199999999998</v>
      </c>
      <c r="J117">
        <v>0</v>
      </c>
      <c r="K117" s="11">
        <f t="shared" si="9"/>
        <v>269.24400000000003</v>
      </c>
    </row>
    <row r="118" spans="1:11">
      <c r="A118" s="1">
        <v>43668</v>
      </c>
      <c r="B118">
        <v>42.4</v>
      </c>
      <c r="C118">
        <f t="shared" si="6"/>
        <v>606.39999999999975</v>
      </c>
      <c r="D118">
        <v>0</v>
      </c>
      <c r="E118">
        <f t="shared" si="7"/>
        <v>1405.1280000000002</v>
      </c>
      <c r="F118">
        <f>1.91*25.4</f>
        <v>48.513999999999996</v>
      </c>
      <c r="G118" s="11">
        <f t="shared" si="8"/>
        <v>312.13199999999995</v>
      </c>
      <c r="H118" s="17">
        <v>7.6199999999999992</v>
      </c>
      <c r="I118" s="11">
        <v>295.53199999999998</v>
      </c>
      <c r="J118">
        <v>3.8099999999999996</v>
      </c>
      <c r="K118" s="11">
        <f t="shared" si="9"/>
        <v>273.05400000000003</v>
      </c>
    </row>
    <row r="119" spans="1:11">
      <c r="A119" s="1">
        <v>43669</v>
      </c>
      <c r="B119">
        <v>1</v>
      </c>
      <c r="C119">
        <f t="shared" si="6"/>
        <v>607.39999999999975</v>
      </c>
      <c r="D119">
        <v>0</v>
      </c>
      <c r="E119">
        <f t="shared" si="7"/>
        <v>1405.1280000000002</v>
      </c>
      <c r="F119">
        <f>25.4*1.2</f>
        <v>30.479999999999997</v>
      </c>
      <c r="G119" s="11">
        <f t="shared" si="8"/>
        <v>342.61199999999997</v>
      </c>
      <c r="H119">
        <v>1.016</v>
      </c>
      <c r="I119" s="11">
        <v>296.548</v>
      </c>
      <c r="J119">
        <v>1.27</v>
      </c>
      <c r="K119" s="11">
        <f t="shared" si="9"/>
        <v>274.32400000000001</v>
      </c>
    </row>
    <row r="120" spans="1:11">
      <c r="A120" s="1">
        <v>43670</v>
      </c>
      <c r="B120">
        <v>2</v>
      </c>
      <c r="C120">
        <f t="shared" si="6"/>
        <v>609.39999999999975</v>
      </c>
      <c r="D120">
        <v>13.081</v>
      </c>
      <c r="E120">
        <f t="shared" si="7"/>
        <v>1418.2090000000001</v>
      </c>
      <c r="F120" s="11">
        <v>0</v>
      </c>
      <c r="G120" s="11">
        <f t="shared" si="8"/>
        <v>342.61199999999997</v>
      </c>
      <c r="H120" s="17">
        <v>0</v>
      </c>
      <c r="I120" s="11">
        <v>296.548</v>
      </c>
      <c r="J120">
        <v>1.016</v>
      </c>
      <c r="K120" s="11">
        <f t="shared" si="9"/>
        <v>275.34000000000003</v>
      </c>
    </row>
    <row r="121" spans="1:11">
      <c r="A121" s="1">
        <v>43671</v>
      </c>
      <c r="B121">
        <v>9</v>
      </c>
      <c r="C121">
        <f t="shared" si="6"/>
        <v>618.39999999999975</v>
      </c>
      <c r="D121">
        <v>22.04</v>
      </c>
      <c r="E121">
        <f t="shared" si="7"/>
        <v>1440.249</v>
      </c>
      <c r="F121">
        <f>25.4*0.06</f>
        <v>1.5239999999999998</v>
      </c>
      <c r="G121" s="11">
        <f t="shared" si="8"/>
        <v>344.13599999999997</v>
      </c>
      <c r="H121" s="17">
        <v>0</v>
      </c>
      <c r="I121" s="11">
        <v>296.548</v>
      </c>
      <c r="J121">
        <v>0</v>
      </c>
      <c r="K121" s="11">
        <f t="shared" si="9"/>
        <v>275.34000000000003</v>
      </c>
    </row>
    <row r="122" spans="1:11">
      <c r="A122" s="1">
        <v>43672</v>
      </c>
      <c r="B122">
        <v>20.399999999999999</v>
      </c>
      <c r="C122">
        <f t="shared" si="6"/>
        <v>638.79999999999973</v>
      </c>
      <c r="D122">
        <v>2.02</v>
      </c>
      <c r="E122">
        <f t="shared" si="7"/>
        <v>1442.269</v>
      </c>
      <c r="F122">
        <f>25.4*0.81</f>
        <v>20.574000000000002</v>
      </c>
      <c r="G122" s="11">
        <f t="shared" si="8"/>
        <v>364.71</v>
      </c>
      <c r="H122">
        <v>15.239999999999998</v>
      </c>
      <c r="I122" s="11">
        <v>311.78800000000001</v>
      </c>
      <c r="J122">
        <v>0</v>
      </c>
      <c r="K122" s="11">
        <f t="shared" si="9"/>
        <v>275.34000000000003</v>
      </c>
    </row>
    <row r="123" spans="1:11">
      <c r="A123" s="1">
        <v>43673</v>
      </c>
      <c r="B123">
        <v>29</v>
      </c>
      <c r="C123">
        <f t="shared" si="6"/>
        <v>667.79999999999973</v>
      </c>
      <c r="D123">
        <v>0</v>
      </c>
      <c r="E123">
        <f t="shared" si="7"/>
        <v>1442.269</v>
      </c>
      <c r="F123" s="11">
        <v>0</v>
      </c>
      <c r="G123" s="11">
        <f t="shared" si="8"/>
        <v>364.71</v>
      </c>
      <c r="H123" s="17">
        <v>0</v>
      </c>
      <c r="I123" s="11">
        <v>311.78800000000001</v>
      </c>
      <c r="J123">
        <v>0</v>
      </c>
      <c r="K123" s="11">
        <f t="shared" si="9"/>
        <v>275.34000000000003</v>
      </c>
    </row>
    <row r="124" spans="1:11">
      <c r="A124" s="1">
        <v>43674</v>
      </c>
      <c r="B124">
        <v>1.8</v>
      </c>
      <c r="C124">
        <f t="shared" si="6"/>
        <v>669.59999999999968</v>
      </c>
      <c r="D124">
        <v>15</v>
      </c>
      <c r="E124">
        <f t="shared" si="7"/>
        <v>1457.269</v>
      </c>
      <c r="F124">
        <f>25.4*0.14</f>
        <v>3.556</v>
      </c>
      <c r="G124" s="11">
        <f t="shared" si="8"/>
        <v>368.26599999999996</v>
      </c>
      <c r="H124" s="11">
        <v>2.032</v>
      </c>
      <c r="I124" s="11">
        <v>313.82</v>
      </c>
      <c r="J124">
        <v>0</v>
      </c>
      <c r="K124" s="11">
        <f t="shared" si="9"/>
        <v>275.34000000000003</v>
      </c>
    </row>
    <row r="125" spans="1:11">
      <c r="A125" s="1">
        <v>43675</v>
      </c>
      <c r="B125">
        <v>0</v>
      </c>
      <c r="C125">
        <f t="shared" si="6"/>
        <v>669.59999999999968</v>
      </c>
      <c r="D125">
        <v>0</v>
      </c>
      <c r="E125">
        <f t="shared" si="7"/>
        <v>1457.269</v>
      </c>
      <c r="F125">
        <f>25.4*0.51</f>
        <v>12.953999999999999</v>
      </c>
      <c r="G125" s="11">
        <f t="shared" si="8"/>
        <v>381.21999999999997</v>
      </c>
      <c r="H125">
        <v>5.08</v>
      </c>
      <c r="I125">
        <v>318.89999999999998</v>
      </c>
      <c r="J125">
        <v>13.97</v>
      </c>
      <c r="K125" s="11">
        <f t="shared" si="9"/>
        <v>289.31000000000006</v>
      </c>
    </row>
    <row r="126" spans="1:11">
      <c r="A126" s="1">
        <v>43676</v>
      </c>
      <c r="B126">
        <v>0.6</v>
      </c>
      <c r="C126">
        <f t="shared" si="6"/>
        <v>670.1999999999997</v>
      </c>
      <c r="D126">
        <v>3.2</v>
      </c>
      <c r="E126">
        <f t="shared" si="7"/>
        <v>1460.4690000000001</v>
      </c>
      <c r="F126" s="11">
        <v>0</v>
      </c>
      <c r="G126" s="11">
        <f t="shared" si="8"/>
        <v>381.21999999999997</v>
      </c>
      <c r="H126">
        <v>2.54</v>
      </c>
      <c r="I126">
        <v>321.44</v>
      </c>
      <c r="J126" s="11">
        <v>0</v>
      </c>
      <c r="K126" s="11">
        <f t="shared" si="9"/>
        <v>289.31000000000006</v>
      </c>
    </row>
    <row r="127" spans="1:11">
      <c r="A127" s="1">
        <v>43677</v>
      </c>
      <c r="B127">
        <v>0</v>
      </c>
      <c r="C127">
        <f t="shared" si="6"/>
        <v>670.1999999999997</v>
      </c>
      <c r="D127">
        <v>1.4</v>
      </c>
      <c r="E127">
        <f t="shared" si="7"/>
        <v>1461.8690000000001</v>
      </c>
      <c r="F127">
        <f>25.4*0.23</f>
        <v>5.8419999999999996</v>
      </c>
      <c r="G127" s="11">
        <f t="shared" si="8"/>
        <v>387.06199999999995</v>
      </c>
      <c r="H127" s="11">
        <v>44.957999999999998</v>
      </c>
      <c r="I127" s="11">
        <v>366.39800000000002</v>
      </c>
      <c r="J127" s="11">
        <v>0</v>
      </c>
      <c r="K127" s="11">
        <f t="shared" si="9"/>
        <v>289.31000000000006</v>
      </c>
    </row>
    <row r="128" spans="1:11">
      <c r="A128" s="1">
        <v>43678</v>
      </c>
      <c r="B128">
        <v>32</v>
      </c>
      <c r="C128">
        <f t="shared" si="6"/>
        <v>702.1999999999997</v>
      </c>
      <c r="D128">
        <v>19.399999999999999</v>
      </c>
      <c r="E128">
        <f t="shared" si="7"/>
        <v>1481.2690000000002</v>
      </c>
      <c r="F128">
        <f>0.97*25.4</f>
        <v>24.637999999999998</v>
      </c>
      <c r="G128" s="11">
        <f t="shared" si="8"/>
        <v>411.69999999999993</v>
      </c>
      <c r="H128" s="11">
        <v>5.8419999999999996</v>
      </c>
      <c r="I128">
        <v>372.24</v>
      </c>
      <c r="J128" s="11">
        <v>0</v>
      </c>
      <c r="K128" s="11">
        <f t="shared" si="9"/>
        <v>289.31000000000006</v>
      </c>
    </row>
    <row r="129" spans="1:11">
      <c r="A129" s="1">
        <v>43679</v>
      </c>
      <c r="B129">
        <v>1</v>
      </c>
      <c r="C129">
        <f t="shared" si="6"/>
        <v>703.1999999999997</v>
      </c>
      <c r="D129">
        <v>0</v>
      </c>
      <c r="E129">
        <f t="shared" si="7"/>
        <v>1481.2690000000002</v>
      </c>
      <c r="F129">
        <f>0.52*25.4</f>
        <v>13.208</v>
      </c>
      <c r="G129" s="11">
        <f t="shared" si="8"/>
        <v>424.90799999999996</v>
      </c>
      <c r="H129" s="11">
        <v>17.272000000000002</v>
      </c>
      <c r="I129" s="11">
        <v>389.512</v>
      </c>
      <c r="J129" s="11">
        <v>0</v>
      </c>
      <c r="K129" s="11">
        <f t="shared" si="9"/>
        <v>289.31000000000006</v>
      </c>
    </row>
    <row r="130" spans="1:11">
      <c r="A130" s="1">
        <v>43680</v>
      </c>
      <c r="B130">
        <v>3.6</v>
      </c>
      <c r="C130">
        <f t="shared" si="6"/>
        <v>706.79999999999973</v>
      </c>
      <c r="D130">
        <v>12.2</v>
      </c>
      <c r="E130">
        <f t="shared" si="7"/>
        <v>1493.4690000000003</v>
      </c>
      <c r="F130">
        <f>0.52*25.4</f>
        <v>13.208</v>
      </c>
      <c r="G130" s="11">
        <f t="shared" si="8"/>
        <v>438.11599999999999</v>
      </c>
      <c r="H130">
        <v>0</v>
      </c>
      <c r="I130">
        <v>389.512</v>
      </c>
      <c r="J130" s="11">
        <v>0</v>
      </c>
      <c r="K130" s="11">
        <f t="shared" si="9"/>
        <v>289.31000000000006</v>
      </c>
    </row>
    <row r="131" spans="1:11">
      <c r="A131" s="1">
        <v>43681</v>
      </c>
      <c r="B131">
        <v>6.2</v>
      </c>
      <c r="C131">
        <f t="shared" si="6"/>
        <v>712.99999999999977</v>
      </c>
      <c r="D131">
        <v>1.2</v>
      </c>
      <c r="E131">
        <f t="shared" si="7"/>
        <v>1494.6690000000003</v>
      </c>
      <c r="F131">
        <f>0.19*25.4</f>
        <v>4.8259999999999996</v>
      </c>
      <c r="G131" s="11">
        <f t="shared" si="8"/>
        <v>442.94200000000001</v>
      </c>
      <c r="H131">
        <v>0</v>
      </c>
      <c r="I131">
        <v>389.512</v>
      </c>
      <c r="J131" s="11">
        <v>0</v>
      </c>
      <c r="K131" s="11">
        <f t="shared" si="9"/>
        <v>289.31000000000006</v>
      </c>
    </row>
    <row r="132" spans="1:11">
      <c r="A132" s="1">
        <v>43682</v>
      </c>
      <c r="B132">
        <v>30.5</v>
      </c>
      <c r="C132">
        <f t="shared" si="6"/>
        <v>743.49999999999977</v>
      </c>
      <c r="D132">
        <v>12.6</v>
      </c>
      <c r="E132">
        <f t="shared" si="7"/>
        <v>1507.2690000000002</v>
      </c>
      <c r="F132">
        <f>0.1*25.4</f>
        <v>2.54</v>
      </c>
      <c r="G132" s="11">
        <f t="shared" si="8"/>
        <v>445.48200000000003</v>
      </c>
      <c r="H132">
        <v>0</v>
      </c>
      <c r="I132">
        <v>389.512</v>
      </c>
      <c r="J132" s="11">
        <v>0</v>
      </c>
      <c r="K132" s="11">
        <f t="shared" si="9"/>
        <v>289.31000000000006</v>
      </c>
    </row>
    <row r="133" spans="1:11">
      <c r="A133" s="1">
        <v>43683</v>
      </c>
      <c r="B133">
        <v>8</v>
      </c>
      <c r="C133">
        <f t="shared" si="6"/>
        <v>751.49999999999977</v>
      </c>
      <c r="D133">
        <v>2.12</v>
      </c>
      <c r="E133">
        <f t="shared" si="7"/>
        <v>1509.3890000000001</v>
      </c>
      <c r="F133">
        <f>25.4*1.15</f>
        <v>29.209999999999997</v>
      </c>
      <c r="G133" s="11">
        <f t="shared" si="8"/>
        <v>474.69200000000001</v>
      </c>
      <c r="H133">
        <v>9.9060000000000006</v>
      </c>
      <c r="I133">
        <v>399.41800000000001</v>
      </c>
      <c r="J133" s="11">
        <v>0</v>
      </c>
      <c r="K133" s="11">
        <f t="shared" si="9"/>
        <v>289.31000000000006</v>
      </c>
    </row>
    <row r="134" spans="1:11">
      <c r="A134" s="1">
        <v>43684</v>
      </c>
      <c r="B134">
        <v>31</v>
      </c>
      <c r="C134">
        <f t="shared" si="6"/>
        <v>782.49999999999977</v>
      </c>
      <c r="D134">
        <v>10.6</v>
      </c>
      <c r="E134">
        <f t="shared" si="7"/>
        <v>1519.989</v>
      </c>
      <c r="F134" s="11">
        <f>25.4*1.79</f>
        <v>45.466000000000001</v>
      </c>
      <c r="G134" s="11">
        <f t="shared" si="8"/>
        <v>520.15800000000002</v>
      </c>
      <c r="H134">
        <v>5.8419999999999996</v>
      </c>
      <c r="I134">
        <v>405.26</v>
      </c>
      <c r="J134" s="11">
        <v>3.8099999999999996</v>
      </c>
      <c r="K134" s="11">
        <f t="shared" si="9"/>
        <v>293.12000000000006</v>
      </c>
    </row>
    <row r="135" spans="1:11">
      <c r="A135" s="1">
        <v>43685</v>
      </c>
      <c r="B135">
        <v>10.8</v>
      </c>
      <c r="C135">
        <f t="shared" si="6"/>
        <v>793.29999999999973</v>
      </c>
      <c r="D135">
        <v>0</v>
      </c>
      <c r="E135">
        <f t="shared" si="7"/>
        <v>1519.989</v>
      </c>
      <c r="F135">
        <f>2.76*25.4</f>
        <v>70.103999999999985</v>
      </c>
      <c r="G135" s="11">
        <f t="shared" si="8"/>
        <v>590.26199999999994</v>
      </c>
      <c r="H135">
        <v>3.8099999999999996</v>
      </c>
      <c r="I135">
        <v>409.07</v>
      </c>
      <c r="J135" s="11">
        <v>2.794</v>
      </c>
      <c r="K135" s="11">
        <f t="shared" si="9"/>
        <v>295.91400000000004</v>
      </c>
    </row>
    <row r="136" spans="1:11">
      <c r="A136" s="1">
        <v>43686</v>
      </c>
      <c r="B136">
        <v>0</v>
      </c>
      <c r="C136">
        <f t="shared" ref="C136:C138" si="11">B136+C135</f>
        <v>793.29999999999973</v>
      </c>
      <c r="D136">
        <v>11</v>
      </c>
      <c r="E136">
        <f t="shared" ref="E136:E199" si="12">D136+E135</f>
        <v>1530.989</v>
      </c>
      <c r="F136">
        <f>0.26*25.4</f>
        <v>6.6040000000000001</v>
      </c>
      <c r="G136" s="11">
        <f t="shared" ref="G136:G199" si="13">F136+G135</f>
        <v>596.86599999999999</v>
      </c>
      <c r="H136">
        <v>0</v>
      </c>
      <c r="I136">
        <v>409.07</v>
      </c>
      <c r="J136" s="11">
        <v>7.6199999999999992</v>
      </c>
      <c r="K136" s="11">
        <f t="shared" ref="K136:K199" si="14">J136+K135</f>
        <v>303.53400000000005</v>
      </c>
    </row>
    <row r="137" spans="1:11">
      <c r="A137" s="1">
        <v>43687</v>
      </c>
      <c r="B137">
        <v>2</v>
      </c>
      <c r="C137">
        <f t="shared" si="11"/>
        <v>795.29999999999973</v>
      </c>
      <c r="D137">
        <v>17.2</v>
      </c>
      <c r="E137">
        <f t="shared" si="12"/>
        <v>1548.1890000000001</v>
      </c>
      <c r="F137">
        <f>0.43*25.4</f>
        <v>10.921999999999999</v>
      </c>
      <c r="G137" s="11">
        <f t="shared" si="13"/>
        <v>607.78800000000001</v>
      </c>
      <c r="H137">
        <v>1.778</v>
      </c>
      <c r="I137">
        <v>410.84800000000001</v>
      </c>
      <c r="J137" s="11">
        <v>17.779999999999998</v>
      </c>
      <c r="K137" s="11">
        <f t="shared" si="14"/>
        <v>321.31400000000002</v>
      </c>
    </row>
    <row r="138" spans="1:11">
      <c r="A138" s="1">
        <v>43688</v>
      </c>
      <c r="B138">
        <v>24.1</v>
      </c>
      <c r="C138">
        <f t="shared" si="11"/>
        <v>819.39999999999975</v>
      </c>
      <c r="D138">
        <v>29.8</v>
      </c>
      <c r="E138">
        <f t="shared" si="12"/>
        <v>1577.989</v>
      </c>
      <c r="F138">
        <f>1.98*25.4</f>
        <v>50.291999999999994</v>
      </c>
      <c r="G138" s="11">
        <f t="shared" si="13"/>
        <v>658.08</v>
      </c>
      <c r="H138">
        <v>45.72</v>
      </c>
      <c r="I138">
        <v>456.56799999999998</v>
      </c>
      <c r="J138" s="11">
        <v>27.178000000000001</v>
      </c>
      <c r="K138" s="11">
        <f t="shared" si="14"/>
        <v>348.49200000000002</v>
      </c>
    </row>
    <row r="139" spans="1:11">
      <c r="A139" s="1">
        <v>43689</v>
      </c>
      <c r="D139">
        <v>0</v>
      </c>
      <c r="E139">
        <f t="shared" si="12"/>
        <v>1577.989</v>
      </c>
      <c r="F139">
        <f>1*25.4</f>
        <v>25.4</v>
      </c>
      <c r="G139" s="11">
        <f t="shared" si="13"/>
        <v>683.48</v>
      </c>
      <c r="H139">
        <v>3.302</v>
      </c>
      <c r="I139">
        <v>459.87</v>
      </c>
      <c r="J139" s="11">
        <v>0</v>
      </c>
      <c r="K139" s="11">
        <f t="shared" si="14"/>
        <v>348.49200000000002</v>
      </c>
    </row>
    <row r="140" spans="1:11">
      <c r="A140" s="1">
        <v>43690</v>
      </c>
      <c r="D140">
        <v>5</v>
      </c>
      <c r="E140">
        <f t="shared" si="12"/>
        <v>1582.989</v>
      </c>
      <c r="F140">
        <f>0.68*25.4</f>
        <v>17.272000000000002</v>
      </c>
      <c r="G140" s="11">
        <f t="shared" si="13"/>
        <v>700.75200000000007</v>
      </c>
      <c r="H140">
        <v>0</v>
      </c>
      <c r="I140">
        <v>459.87</v>
      </c>
      <c r="J140" s="11">
        <v>2.2859999999999996</v>
      </c>
      <c r="K140" s="11">
        <f t="shared" si="14"/>
        <v>350.77800000000002</v>
      </c>
    </row>
    <row r="141" spans="1:11">
      <c r="A141" s="1">
        <v>43691</v>
      </c>
      <c r="D141">
        <v>2.2000000000000002</v>
      </c>
      <c r="E141">
        <f t="shared" si="12"/>
        <v>1585.1890000000001</v>
      </c>
      <c r="F141">
        <f>0.68*25.4</f>
        <v>17.272000000000002</v>
      </c>
      <c r="G141" s="11">
        <f t="shared" si="13"/>
        <v>718.02400000000011</v>
      </c>
      <c r="H141">
        <v>0</v>
      </c>
      <c r="I141">
        <v>459.87</v>
      </c>
      <c r="J141" s="11">
        <v>7.3659999999999988</v>
      </c>
      <c r="K141" s="11">
        <f t="shared" si="14"/>
        <v>358.14400000000001</v>
      </c>
    </row>
    <row r="142" spans="1:11">
      <c r="A142" s="1">
        <v>43692</v>
      </c>
      <c r="D142">
        <v>3</v>
      </c>
      <c r="E142">
        <f t="shared" si="12"/>
        <v>1588.1890000000001</v>
      </c>
      <c r="F142">
        <f>0.38*25.4</f>
        <v>9.6519999999999992</v>
      </c>
      <c r="G142" s="11">
        <f t="shared" si="13"/>
        <v>727.67600000000016</v>
      </c>
      <c r="H142">
        <v>0</v>
      </c>
      <c r="I142">
        <v>459.87</v>
      </c>
      <c r="J142" s="11">
        <v>2.2859999999999996</v>
      </c>
      <c r="K142" s="11">
        <f t="shared" si="14"/>
        <v>360.43</v>
      </c>
    </row>
    <row r="143" spans="1:11">
      <c r="A143" s="1">
        <v>43693</v>
      </c>
      <c r="D143">
        <v>1</v>
      </c>
      <c r="E143">
        <f t="shared" si="12"/>
        <v>1589.1890000000001</v>
      </c>
      <c r="F143">
        <f>25.4*0.79</f>
        <v>20.065999999999999</v>
      </c>
      <c r="G143" s="11">
        <f t="shared" si="13"/>
        <v>747.74200000000019</v>
      </c>
      <c r="H143">
        <v>2.2859999999999996</v>
      </c>
      <c r="I143">
        <v>462.15600000000001</v>
      </c>
      <c r="J143" s="11">
        <v>0</v>
      </c>
      <c r="K143" s="11">
        <f t="shared" si="14"/>
        <v>360.43</v>
      </c>
    </row>
    <row r="144" spans="1:11">
      <c r="A144" s="1">
        <v>43694</v>
      </c>
      <c r="D144">
        <v>2.8</v>
      </c>
      <c r="E144">
        <f t="shared" si="12"/>
        <v>1591.989</v>
      </c>
      <c r="F144">
        <f>0</f>
        <v>0</v>
      </c>
      <c r="G144" s="11">
        <f t="shared" si="13"/>
        <v>747.74200000000019</v>
      </c>
      <c r="H144">
        <v>6.8579999999999997</v>
      </c>
      <c r="I144">
        <v>469.01400000000001</v>
      </c>
      <c r="J144" s="11">
        <v>0</v>
      </c>
      <c r="K144" s="11">
        <f t="shared" si="14"/>
        <v>360.43</v>
      </c>
    </row>
    <row r="145" spans="1:11">
      <c r="A145" s="1">
        <v>43695</v>
      </c>
      <c r="D145">
        <v>2.6</v>
      </c>
      <c r="E145">
        <f t="shared" si="12"/>
        <v>1594.5889999999999</v>
      </c>
      <c r="F145">
        <f>25.4*0.1</f>
        <v>2.54</v>
      </c>
      <c r="G145" s="11">
        <f t="shared" si="13"/>
        <v>750.28200000000015</v>
      </c>
      <c r="H145">
        <v>5.5880000000000001</v>
      </c>
      <c r="I145">
        <v>474.60200000000003</v>
      </c>
      <c r="J145" s="11">
        <v>6.6040000000000001</v>
      </c>
      <c r="K145" s="11">
        <f t="shared" si="14"/>
        <v>367.03399999999999</v>
      </c>
    </row>
    <row r="146" spans="1:11">
      <c r="A146" s="1">
        <v>43696</v>
      </c>
      <c r="D146">
        <v>15.8</v>
      </c>
      <c r="E146">
        <f t="shared" si="12"/>
        <v>1610.3889999999999</v>
      </c>
      <c r="F146">
        <f>25.4*0.12</f>
        <v>3.0479999999999996</v>
      </c>
      <c r="G146" s="11">
        <f t="shared" si="13"/>
        <v>753.33000000000015</v>
      </c>
      <c r="H146">
        <v>2.2859999999999996</v>
      </c>
      <c r="I146">
        <v>476.88800000000003</v>
      </c>
      <c r="J146" s="11">
        <v>37.845999999999997</v>
      </c>
      <c r="K146" s="11">
        <f t="shared" si="14"/>
        <v>404.88</v>
      </c>
    </row>
    <row r="147" spans="1:11">
      <c r="A147" s="1">
        <v>43697</v>
      </c>
      <c r="D147">
        <v>17.399999999999999</v>
      </c>
      <c r="E147">
        <f t="shared" si="12"/>
        <v>1627.789</v>
      </c>
      <c r="F147">
        <f>0.1*25.4</f>
        <v>2.54</v>
      </c>
      <c r="G147" s="11">
        <f t="shared" si="13"/>
        <v>755.87000000000012</v>
      </c>
      <c r="H147">
        <v>0</v>
      </c>
      <c r="I147">
        <v>476.88800000000003</v>
      </c>
      <c r="J147" s="11">
        <v>4.3180000000000005</v>
      </c>
      <c r="K147" s="11">
        <f t="shared" si="14"/>
        <v>409.19799999999998</v>
      </c>
    </row>
    <row r="148" spans="1:11">
      <c r="A148" s="1">
        <v>43698</v>
      </c>
      <c r="D148">
        <v>37.5</v>
      </c>
      <c r="E148">
        <f t="shared" si="12"/>
        <v>1665.289</v>
      </c>
      <c r="F148">
        <f>0.12*25.4</f>
        <v>3.0479999999999996</v>
      </c>
      <c r="G148" s="11">
        <f t="shared" si="13"/>
        <v>758.91800000000012</v>
      </c>
      <c r="H148">
        <v>0</v>
      </c>
      <c r="I148">
        <v>476.88800000000003</v>
      </c>
      <c r="J148" s="11">
        <v>19.303999999999998</v>
      </c>
      <c r="K148" s="11">
        <f t="shared" si="14"/>
        <v>428.50199999999995</v>
      </c>
    </row>
    <row r="149" spans="1:11">
      <c r="A149" s="1">
        <v>43699</v>
      </c>
      <c r="D149">
        <v>90.7</v>
      </c>
      <c r="E149">
        <f t="shared" si="12"/>
        <v>1755.989</v>
      </c>
      <c r="F149">
        <f>0.42*25.4</f>
        <v>10.667999999999999</v>
      </c>
      <c r="G149" s="11">
        <f t="shared" si="13"/>
        <v>769.58600000000013</v>
      </c>
      <c r="H149">
        <v>0</v>
      </c>
      <c r="I149">
        <v>476.88800000000003</v>
      </c>
      <c r="J149" s="11">
        <v>0</v>
      </c>
      <c r="K149" s="11">
        <f t="shared" si="14"/>
        <v>428.50199999999995</v>
      </c>
    </row>
    <row r="150" spans="1:11">
      <c r="A150" s="1">
        <v>43700</v>
      </c>
      <c r="D150">
        <v>10.4</v>
      </c>
      <c r="E150">
        <f t="shared" si="12"/>
        <v>1766.3890000000001</v>
      </c>
      <c r="F150">
        <f>1.81*25.4</f>
        <v>45.973999999999997</v>
      </c>
      <c r="G150" s="11">
        <f t="shared" si="13"/>
        <v>815.56000000000017</v>
      </c>
      <c r="H150">
        <v>8.636000000000001</v>
      </c>
      <c r="I150">
        <v>485.52400000000006</v>
      </c>
      <c r="J150" s="11">
        <v>3.556</v>
      </c>
      <c r="K150" s="11">
        <f t="shared" si="14"/>
        <v>432.05799999999994</v>
      </c>
    </row>
    <row r="151" spans="1:11">
      <c r="A151" s="1">
        <v>43701</v>
      </c>
      <c r="D151">
        <v>8.1999999999999993</v>
      </c>
      <c r="E151">
        <f t="shared" si="12"/>
        <v>1774.5890000000002</v>
      </c>
      <c r="F151" s="11">
        <v>0</v>
      </c>
      <c r="G151" s="11">
        <f t="shared" si="13"/>
        <v>815.56000000000017</v>
      </c>
      <c r="H151">
        <v>7.6199999999999992</v>
      </c>
      <c r="I151">
        <v>493.14400000000006</v>
      </c>
      <c r="J151" s="11">
        <v>6.35</v>
      </c>
      <c r="K151" s="11">
        <f t="shared" si="14"/>
        <v>438.40799999999996</v>
      </c>
    </row>
    <row r="152" spans="1:11">
      <c r="A152" s="1">
        <v>43702</v>
      </c>
      <c r="D152">
        <v>0</v>
      </c>
      <c r="E152">
        <f t="shared" si="12"/>
        <v>1774.5890000000002</v>
      </c>
      <c r="F152" s="11">
        <v>0</v>
      </c>
      <c r="G152" s="11">
        <f t="shared" si="13"/>
        <v>815.56000000000017</v>
      </c>
      <c r="H152">
        <v>26.669999999999998</v>
      </c>
      <c r="I152">
        <v>519.81400000000008</v>
      </c>
      <c r="J152" s="11">
        <v>0</v>
      </c>
      <c r="K152" s="11">
        <f t="shared" si="14"/>
        <v>438.40799999999996</v>
      </c>
    </row>
    <row r="153" spans="1:11">
      <c r="A153" s="1">
        <v>43703</v>
      </c>
      <c r="D153">
        <v>0.8</v>
      </c>
      <c r="E153">
        <f t="shared" si="12"/>
        <v>1775.3890000000001</v>
      </c>
      <c r="F153">
        <f>1.15*25.4</f>
        <v>29.209999999999997</v>
      </c>
      <c r="G153" s="11">
        <f t="shared" si="13"/>
        <v>844.77000000000021</v>
      </c>
      <c r="H153">
        <v>0</v>
      </c>
      <c r="I153">
        <v>519.81400000000008</v>
      </c>
      <c r="J153" s="11">
        <v>0</v>
      </c>
      <c r="K153" s="11">
        <f t="shared" si="14"/>
        <v>438.40799999999996</v>
      </c>
    </row>
    <row r="154" spans="1:11">
      <c r="A154" s="1">
        <v>43704</v>
      </c>
      <c r="D154">
        <v>13.4</v>
      </c>
      <c r="E154">
        <f t="shared" si="12"/>
        <v>1788.7890000000002</v>
      </c>
      <c r="F154">
        <f>0.72*25.4</f>
        <v>18.287999999999997</v>
      </c>
      <c r="G154" s="11">
        <f t="shared" si="13"/>
        <v>863.05800000000022</v>
      </c>
      <c r="H154">
        <v>0</v>
      </c>
      <c r="I154">
        <v>519.81400000000008</v>
      </c>
      <c r="J154" s="11">
        <v>0</v>
      </c>
      <c r="K154" s="11">
        <f t="shared" si="14"/>
        <v>438.40799999999996</v>
      </c>
    </row>
    <row r="155" spans="1:11">
      <c r="A155" s="1">
        <v>43705</v>
      </c>
      <c r="D155">
        <v>8.4</v>
      </c>
      <c r="E155">
        <f t="shared" si="12"/>
        <v>1797.1890000000003</v>
      </c>
      <c r="F155" s="11">
        <v>0</v>
      </c>
      <c r="G155" s="11">
        <f t="shared" si="13"/>
        <v>863.05800000000022</v>
      </c>
      <c r="H155">
        <v>0</v>
      </c>
      <c r="I155">
        <v>519.81400000000008</v>
      </c>
      <c r="J155" s="11">
        <v>4.5719999999999992</v>
      </c>
      <c r="K155" s="11">
        <f t="shared" si="14"/>
        <v>442.97999999999996</v>
      </c>
    </row>
    <row r="156" spans="1:11">
      <c r="A156" s="1">
        <v>43706</v>
      </c>
      <c r="D156">
        <v>0</v>
      </c>
      <c r="E156">
        <f t="shared" si="12"/>
        <v>1797.1890000000003</v>
      </c>
      <c r="F156" s="11">
        <v>0</v>
      </c>
      <c r="G156" s="11">
        <f t="shared" si="13"/>
        <v>863.05800000000022</v>
      </c>
      <c r="H156">
        <v>0</v>
      </c>
      <c r="I156">
        <v>519.81400000000008</v>
      </c>
      <c r="J156" s="11">
        <v>0</v>
      </c>
      <c r="K156" s="11">
        <f t="shared" si="14"/>
        <v>442.97999999999996</v>
      </c>
    </row>
    <row r="157" spans="1:11">
      <c r="A157" s="1">
        <v>43707</v>
      </c>
      <c r="D157">
        <v>0</v>
      </c>
      <c r="E157">
        <f t="shared" si="12"/>
        <v>1797.1890000000003</v>
      </c>
      <c r="F157" s="11">
        <v>0</v>
      </c>
      <c r="G157" s="11">
        <f t="shared" si="13"/>
        <v>863.05800000000022</v>
      </c>
      <c r="H157">
        <v>0</v>
      </c>
      <c r="I157">
        <v>519.81400000000008</v>
      </c>
      <c r="J157" s="11">
        <v>0</v>
      </c>
      <c r="K157" s="11">
        <f t="shared" si="14"/>
        <v>442.97999999999996</v>
      </c>
    </row>
    <row r="158" spans="1:11">
      <c r="A158" s="1">
        <v>43708</v>
      </c>
      <c r="D158">
        <v>0</v>
      </c>
      <c r="E158">
        <f t="shared" si="12"/>
        <v>1797.1890000000003</v>
      </c>
      <c r="F158" s="11">
        <v>0</v>
      </c>
      <c r="G158" s="11">
        <f t="shared" si="13"/>
        <v>863.05800000000022</v>
      </c>
      <c r="H158">
        <v>0</v>
      </c>
      <c r="I158">
        <v>519.81400000000008</v>
      </c>
      <c r="J158" s="11">
        <v>0</v>
      </c>
      <c r="K158" s="11">
        <f t="shared" si="14"/>
        <v>442.97999999999996</v>
      </c>
    </row>
    <row r="159" spans="1:11">
      <c r="A159" s="1">
        <v>43709</v>
      </c>
      <c r="D159">
        <v>6.85</v>
      </c>
      <c r="E159">
        <f t="shared" si="12"/>
        <v>1804.0390000000002</v>
      </c>
      <c r="F159" s="11">
        <v>0</v>
      </c>
      <c r="G159" s="11">
        <f t="shared" si="13"/>
        <v>863.05800000000022</v>
      </c>
      <c r="H159">
        <v>12.191999999999998</v>
      </c>
      <c r="I159">
        <v>532.00600000000009</v>
      </c>
      <c r="J159" s="11">
        <v>0</v>
      </c>
      <c r="K159" s="11">
        <f t="shared" si="14"/>
        <v>442.97999999999996</v>
      </c>
    </row>
    <row r="160" spans="1:11">
      <c r="A160" s="1">
        <v>43710</v>
      </c>
      <c r="D160">
        <v>3.6</v>
      </c>
      <c r="E160">
        <f t="shared" si="12"/>
        <v>1807.6390000000001</v>
      </c>
      <c r="F160">
        <f>0.3*25.4</f>
        <v>7.6199999999999992</v>
      </c>
      <c r="G160" s="11">
        <f t="shared" si="13"/>
        <v>870.67800000000022</v>
      </c>
      <c r="H160">
        <v>2.032</v>
      </c>
      <c r="I160">
        <v>534.03800000000012</v>
      </c>
      <c r="J160" s="11">
        <v>7.6199999999999992</v>
      </c>
      <c r="K160" s="11">
        <f t="shared" si="14"/>
        <v>450.59999999999997</v>
      </c>
    </row>
    <row r="161" spans="1:11">
      <c r="A161" s="1">
        <v>43711</v>
      </c>
      <c r="D161">
        <v>1.4</v>
      </c>
      <c r="E161">
        <f t="shared" si="12"/>
        <v>1809.0390000000002</v>
      </c>
      <c r="F161" s="11">
        <f>0.38*25.4</f>
        <v>9.6519999999999992</v>
      </c>
      <c r="G161" s="11">
        <f t="shared" si="13"/>
        <v>880.33000000000027</v>
      </c>
      <c r="H161">
        <v>11.43</v>
      </c>
      <c r="I161">
        <v>545.46800000000007</v>
      </c>
      <c r="J161" s="11">
        <v>0</v>
      </c>
      <c r="K161" s="11">
        <f t="shared" si="14"/>
        <v>450.59999999999997</v>
      </c>
    </row>
    <row r="162" spans="1:11">
      <c r="A162" s="1">
        <v>43712</v>
      </c>
      <c r="D162">
        <v>0</v>
      </c>
      <c r="E162">
        <f t="shared" si="12"/>
        <v>1809.0390000000002</v>
      </c>
      <c r="F162" s="11">
        <v>0</v>
      </c>
      <c r="G162" s="11">
        <f t="shared" si="13"/>
        <v>880.33000000000027</v>
      </c>
      <c r="H162">
        <v>3.302</v>
      </c>
      <c r="I162">
        <v>548.7700000000001</v>
      </c>
      <c r="J162" s="11">
        <v>2.794</v>
      </c>
      <c r="K162" s="11">
        <f t="shared" si="14"/>
        <v>453.39399999999995</v>
      </c>
    </row>
    <row r="163" spans="1:11">
      <c r="A163" s="1">
        <v>43713</v>
      </c>
      <c r="D163">
        <v>0</v>
      </c>
      <c r="E163">
        <f t="shared" si="12"/>
        <v>1809.0390000000002</v>
      </c>
      <c r="F163">
        <v>0</v>
      </c>
      <c r="G163" s="11">
        <f t="shared" si="13"/>
        <v>880.33000000000027</v>
      </c>
      <c r="H163">
        <v>2.54</v>
      </c>
      <c r="I163">
        <v>551.31000000000006</v>
      </c>
      <c r="J163" s="11">
        <v>0.50800000000000001</v>
      </c>
      <c r="K163" s="11">
        <f t="shared" si="14"/>
        <v>453.90199999999993</v>
      </c>
    </row>
    <row r="164" spans="1:11">
      <c r="A164" s="1">
        <v>43714</v>
      </c>
      <c r="D164">
        <v>0</v>
      </c>
      <c r="E164">
        <f t="shared" si="12"/>
        <v>1809.0390000000002</v>
      </c>
      <c r="F164" s="11">
        <v>0</v>
      </c>
      <c r="G164" s="11">
        <f t="shared" si="13"/>
        <v>880.33000000000027</v>
      </c>
      <c r="H164">
        <v>6.6040000000000001</v>
      </c>
      <c r="I164">
        <v>557.9140000000001</v>
      </c>
      <c r="J164" s="11">
        <v>0</v>
      </c>
      <c r="K164" s="11">
        <f t="shared" si="14"/>
        <v>453.90199999999993</v>
      </c>
    </row>
    <row r="165" spans="1:11">
      <c r="A165" s="1">
        <v>43715</v>
      </c>
      <c r="D165">
        <v>0</v>
      </c>
      <c r="E165">
        <f t="shared" si="12"/>
        <v>1809.0390000000002</v>
      </c>
      <c r="F165" s="11">
        <v>0</v>
      </c>
      <c r="G165" s="11">
        <f t="shared" si="13"/>
        <v>880.33000000000027</v>
      </c>
      <c r="H165">
        <v>7.1120000000000001</v>
      </c>
      <c r="I165">
        <v>565.02600000000007</v>
      </c>
      <c r="J165" s="11">
        <v>0</v>
      </c>
      <c r="K165" s="11">
        <f t="shared" si="14"/>
        <v>453.90199999999993</v>
      </c>
    </row>
    <row r="166" spans="1:11">
      <c r="A166" s="1">
        <v>43716</v>
      </c>
      <c r="D166">
        <v>0</v>
      </c>
      <c r="E166">
        <f t="shared" si="12"/>
        <v>1809.0390000000002</v>
      </c>
      <c r="F166">
        <f>1.12*25.4</f>
        <v>28.448</v>
      </c>
      <c r="G166" s="11">
        <f t="shared" si="13"/>
        <v>908.77800000000025</v>
      </c>
      <c r="H166">
        <v>1.5239999999999998</v>
      </c>
      <c r="I166">
        <v>566.55000000000007</v>
      </c>
      <c r="J166" s="11">
        <v>0</v>
      </c>
      <c r="K166" s="11">
        <f t="shared" si="14"/>
        <v>453.90199999999993</v>
      </c>
    </row>
    <row r="167" spans="1:11">
      <c r="A167" s="1">
        <v>43717</v>
      </c>
      <c r="D167">
        <v>0</v>
      </c>
      <c r="E167">
        <f t="shared" si="12"/>
        <v>1809.0390000000002</v>
      </c>
      <c r="F167">
        <f>0.46*25.4</f>
        <v>11.683999999999999</v>
      </c>
      <c r="G167" s="11">
        <f t="shared" si="13"/>
        <v>920.46200000000022</v>
      </c>
      <c r="H167">
        <v>0</v>
      </c>
      <c r="I167">
        <v>566.55000000000007</v>
      </c>
      <c r="J167" s="11">
        <v>4.5719999999999992</v>
      </c>
      <c r="K167" s="11">
        <f t="shared" si="14"/>
        <v>458.47399999999993</v>
      </c>
    </row>
    <row r="168" spans="1:11">
      <c r="A168" s="1">
        <v>43718</v>
      </c>
      <c r="D168">
        <v>0.2</v>
      </c>
      <c r="E168">
        <f t="shared" si="12"/>
        <v>1809.2390000000003</v>
      </c>
      <c r="F168">
        <f>0.2*25.4</f>
        <v>5.08</v>
      </c>
      <c r="G168" s="11">
        <f t="shared" si="13"/>
        <v>925.54200000000026</v>
      </c>
      <c r="H168">
        <v>0</v>
      </c>
      <c r="I168">
        <v>566.55000000000007</v>
      </c>
      <c r="J168" s="11">
        <v>0</v>
      </c>
      <c r="K168" s="11">
        <f t="shared" si="14"/>
        <v>458.47399999999993</v>
      </c>
    </row>
    <row r="169" spans="1:11">
      <c r="A169" s="1">
        <v>43719</v>
      </c>
      <c r="D169">
        <v>15.4</v>
      </c>
      <c r="E169">
        <f t="shared" si="12"/>
        <v>1824.6390000000004</v>
      </c>
      <c r="F169" s="11">
        <v>0</v>
      </c>
      <c r="G169" s="11">
        <f t="shared" si="13"/>
        <v>925.54200000000026</v>
      </c>
      <c r="H169">
        <v>0</v>
      </c>
      <c r="I169">
        <v>566.55000000000007</v>
      </c>
      <c r="J169" s="11">
        <v>14.477999999999998</v>
      </c>
      <c r="K169" s="11">
        <f t="shared" si="14"/>
        <v>472.95199999999994</v>
      </c>
    </row>
    <row r="170" spans="1:11">
      <c r="A170" s="1">
        <v>43720</v>
      </c>
      <c r="D170">
        <v>0</v>
      </c>
      <c r="E170">
        <f t="shared" si="12"/>
        <v>1824.6390000000004</v>
      </c>
      <c r="F170" s="11">
        <v>0</v>
      </c>
      <c r="G170" s="11">
        <f t="shared" si="13"/>
        <v>925.54200000000026</v>
      </c>
      <c r="H170">
        <v>0</v>
      </c>
      <c r="I170">
        <v>566.55000000000007</v>
      </c>
      <c r="J170" s="11">
        <v>6.0959999999999992</v>
      </c>
      <c r="K170" s="11">
        <f t="shared" si="14"/>
        <v>479.04799999999994</v>
      </c>
    </row>
    <row r="171" spans="1:11">
      <c r="A171" s="1">
        <v>43721</v>
      </c>
      <c r="D171">
        <v>0</v>
      </c>
      <c r="E171">
        <f t="shared" si="12"/>
        <v>1824.6390000000004</v>
      </c>
      <c r="F171">
        <f>1.83*25.4</f>
        <v>46.481999999999999</v>
      </c>
      <c r="G171" s="11">
        <f t="shared" si="13"/>
        <v>972.02400000000023</v>
      </c>
      <c r="H171">
        <f>0.23*25.4</f>
        <v>5.8419999999999996</v>
      </c>
      <c r="I171" s="11">
        <f t="shared" ref="I171:I179" si="15">H171+I170</f>
        <v>572.39200000000005</v>
      </c>
      <c r="J171" s="11">
        <v>24.891999999999999</v>
      </c>
      <c r="K171" s="11">
        <f t="shared" si="14"/>
        <v>503.93999999999994</v>
      </c>
    </row>
    <row r="172" spans="1:11">
      <c r="A172" s="1">
        <v>43722</v>
      </c>
      <c r="D172">
        <v>5</v>
      </c>
      <c r="E172">
        <f t="shared" si="12"/>
        <v>1829.6390000000004</v>
      </c>
      <c r="F172" s="11">
        <f>25.4*1.54</f>
        <v>39.116</v>
      </c>
      <c r="G172" s="11">
        <f t="shared" si="13"/>
        <v>1011.1400000000002</v>
      </c>
      <c r="H172">
        <f>0.02*25.4</f>
        <v>0.50800000000000001</v>
      </c>
      <c r="I172" s="11">
        <f t="shared" si="15"/>
        <v>572.90000000000009</v>
      </c>
      <c r="J172" s="11">
        <v>0</v>
      </c>
      <c r="K172" s="11">
        <f t="shared" si="14"/>
        <v>503.93999999999994</v>
      </c>
    </row>
    <row r="173" spans="1:11">
      <c r="A173" s="1">
        <v>43723</v>
      </c>
      <c r="D173">
        <v>2.4</v>
      </c>
      <c r="E173">
        <f t="shared" si="12"/>
        <v>1832.0390000000004</v>
      </c>
      <c r="F173" s="11">
        <f>25.4*4.76</f>
        <v>120.90399999999998</v>
      </c>
      <c r="G173" s="11">
        <f t="shared" si="13"/>
        <v>1132.0440000000001</v>
      </c>
      <c r="H173">
        <f>0.14*25.4</f>
        <v>3.556</v>
      </c>
      <c r="I173" s="11">
        <f t="shared" si="15"/>
        <v>576.45600000000013</v>
      </c>
      <c r="J173" s="11">
        <v>0</v>
      </c>
      <c r="K173" s="11">
        <f t="shared" si="14"/>
        <v>503.93999999999994</v>
      </c>
    </row>
    <row r="174" spans="1:11">
      <c r="A174" s="1">
        <v>43724</v>
      </c>
      <c r="D174">
        <v>0</v>
      </c>
      <c r="E174">
        <f t="shared" si="12"/>
        <v>1832.0390000000004</v>
      </c>
      <c r="F174">
        <f>1.43*25.4</f>
        <v>36.321999999999996</v>
      </c>
      <c r="G174" s="11">
        <f t="shared" si="13"/>
        <v>1168.366</v>
      </c>
      <c r="H174">
        <v>0</v>
      </c>
      <c r="I174" s="11">
        <f t="shared" si="15"/>
        <v>576.45600000000013</v>
      </c>
      <c r="J174" s="11">
        <v>0</v>
      </c>
      <c r="K174" s="11">
        <f t="shared" si="14"/>
        <v>503.93999999999994</v>
      </c>
    </row>
    <row r="175" spans="1:11">
      <c r="A175" s="1">
        <v>43725</v>
      </c>
      <c r="D175">
        <v>0</v>
      </c>
      <c r="E175">
        <f t="shared" si="12"/>
        <v>1832.0390000000004</v>
      </c>
      <c r="F175" s="11">
        <v>0</v>
      </c>
      <c r="G175" s="11">
        <f t="shared" si="13"/>
        <v>1168.366</v>
      </c>
      <c r="H175">
        <v>0</v>
      </c>
      <c r="I175" s="11">
        <f t="shared" si="15"/>
        <v>576.45600000000013</v>
      </c>
      <c r="J175" s="11">
        <v>0</v>
      </c>
      <c r="K175" s="11">
        <f t="shared" si="14"/>
        <v>503.93999999999994</v>
      </c>
    </row>
    <row r="176" spans="1:11">
      <c r="A176" s="1">
        <v>43726</v>
      </c>
      <c r="D176">
        <v>0</v>
      </c>
      <c r="E176">
        <f t="shared" si="12"/>
        <v>1832.0390000000004</v>
      </c>
      <c r="F176" s="11">
        <v>0</v>
      </c>
      <c r="G176" s="11">
        <f t="shared" si="13"/>
        <v>1168.366</v>
      </c>
      <c r="H176">
        <f>0.23*25.4</f>
        <v>5.8419999999999996</v>
      </c>
      <c r="I176" s="11">
        <f t="shared" si="15"/>
        <v>582.29800000000012</v>
      </c>
      <c r="J176" s="11">
        <v>0</v>
      </c>
      <c r="K176" s="11">
        <f t="shared" si="14"/>
        <v>503.93999999999994</v>
      </c>
    </row>
    <row r="177" spans="1:11">
      <c r="A177" s="1">
        <v>43727</v>
      </c>
      <c r="D177">
        <v>0</v>
      </c>
      <c r="E177">
        <f t="shared" si="12"/>
        <v>1832.0390000000004</v>
      </c>
      <c r="F177" s="11">
        <v>0</v>
      </c>
      <c r="G177" s="11">
        <f t="shared" si="13"/>
        <v>1168.366</v>
      </c>
      <c r="H177">
        <f>25.4*0.1</f>
        <v>2.54</v>
      </c>
      <c r="I177" s="11">
        <f t="shared" si="15"/>
        <v>584.83800000000008</v>
      </c>
      <c r="J177" s="11">
        <v>0.50800000000000001</v>
      </c>
      <c r="K177" s="11">
        <f t="shared" si="14"/>
        <v>504.44799999999992</v>
      </c>
    </row>
    <row r="178" spans="1:11">
      <c r="A178" s="1">
        <v>43728</v>
      </c>
      <c r="D178">
        <v>0</v>
      </c>
      <c r="E178">
        <f t="shared" si="12"/>
        <v>1832.0390000000004</v>
      </c>
      <c r="F178" s="11">
        <v>0</v>
      </c>
      <c r="G178" s="11">
        <f t="shared" si="13"/>
        <v>1168.366</v>
      </c>
      <c r="H178">
        <f>0.06*25.4</f>
        <v>1.5239999999999998</v>
      </c>
      <c r="I178" s="11">
        <f t="shared" si="15"/>
        <v>586.36200000000008</v>
      </c>
      <c r="J178" s="11">
        <v>13.462</v>
      </c>
      <c r="K178" s="11">
        <f t="shared" si="14"/>
        <v>517.91</v>
      </c>
    </row>
    <row r="179" spans="1:11">
      <c r="A179" s="1">
        <v>43729</v>
      </c>
      <c r="D179">
        <v>0</v>
      </c>
      <c r="E179">
        <f t="shared" si="12"/>
        <v>1832.0390000000004</v>
      </c>
      <c r="F179" s="11">
        <v>0</v>
      </c>
      <c r="G179" s="11">
        <f t="shared" si="13"/>
        <v>1168.366</v>
      </c>
      <c r="H179">
        <f>25.4*0.08</f>
        <v>2.032</v>
      </c>
      <c r="I179" s="11">
        <f t="shared" si="15"/>
        <v>588.39400000000012</v>
      </c>
      <c r="J179" s="11">
        <v>0</v>
      </c>
      <c r="K179" s="11">
        <f t="shared" si="14"/>
        <v>517.91</v>
      </c>
    </row>
    <row r="180" spans="1:11">
      <c r="A180" s="1">
        <v>43730</v>
      </c>
      <c r="D180">
        <v>22.8</v>
      </c>
      <c r="E180">
        <f t="shared" si="12"/>
        <v>1854.8390000000004</v>
      </c>
      <c r="F180" s="11">
        <v>0</v>
      </c>
      <c r="G180" s="11">
        <f t="shared" si="13"/>
        <v>1168.366</v>
      </c>
      <c r="H180" s="11">
        <v>4.0544000000000002</v>
      </c>
      <c r="I180" s="11">
        <v>592.44840000000011</v>
      </c>
      <c r="J180" s="11">
        <v>0</v>
      </c>
      <c r="K180" s="11">
        <f t="shared" si="14"/>
        <v>517.91</v>
      </c>
    </row>
    <row r="181" spans="1:11">
      <c r="A181" s="1">
        <v>43731</v>
      </c>
      <c r="D181">
        <v>2.2999999999999998</v>
      </c>
      <c r="E181">
        <f t="shared" si="12"/>
        <v>1857.1390000000004</v>
      </c>
      <c r="F181">
        <f>25.4*0.28</f>
        <v>7.1120000000000001</v>
      </c>
      <c r="G181" s="11">
        <f t="shared" si="13"/>
        <v>1175.4780000000001</v>
      </c>
      <c r="H181" s="11">
        <v>1.5239999999999998</v>
      </c>
      <c r="I181" s="11">
        <v>593.97240000000011</v>
      </c>
      <c r="J181" s="11">
        <v>0</v>
      </c>
      <c r="K181" s="11">
        <f t="shared" si="14"/>
        <v>517.91</v>
      </c>
    </row>
    <row r="182" spans="1:11">
      <c r="A182" s="1">
        <v>43732</v>
      </c>
      <c r="D182">
        <v>1.4</v>
      </c>
      <c r="E182">
        <f t="shared" si="12"/>
        <v>1858.5390000000004</v>
      </c>
      <c r="F182">
        <f>0.5*25.4</f>
        <v>12.7</v>
      </c>
      <c r="G182" s="11">
        <f t="shared" si="13"/>
        <v>1188.1780000000001</v>
      </c>
      <c r="H182" s="11">
        <v>0</v>
      </c>
      <c r="I182" s="11">
        <v>593.97240000000011</v>
      </c>
      <c r="J182" s="11">
        <v>0</v>
      </c>
      <c r="K182" s="11">
        <f t="shared" si="14"/>
        <v>517.91</v>
      </c>
    </row>
    <row r="183" spans="1:11">
      <c r="A183" s="1">
        <v>43733</v>
      </c>
      <c r="D183">
        <v>0</v>
      </c>
      <c r="E183">
        <f t="shared" si="12"/>
        <v>1858.5390000000004</v>
      </c>
      <c r="F183">
        <f>0.2*25.4</f>
        <v>5.08</v>
      </c>
      <c r="G183" s="11">
        <f t="shared" si="13"/>
        <v>1193.258</v>
      </c>
      <c r="H183" s="11">
        <v>0</v>
      </c>
      <c r="I183" s="11">
        <v>593.97240000000011</v>
      </c>
      <c r="J183" s="17">
        <f>0.35*25.4</f>
        <v>8.8899999999999988</v>
      </c>
      <c r="K183" s="11">
        <f t="shared" si="14"/>
        <v>526.79999999999995</v>
      </c>
    </row>
    <row r="184" spans="1:11">
      <c r="A184" s="1">
        <v>43734</v>
      </c>
      <c r="D184">
        <v>58.6</v>
      </c>
      <c r="E184">
        <f t="shared" si="12"/>
        <v>1917.1390000000004</v>
      </c>
      <c r="F184">
        <f>0.23*25.4</f>
        <v>5.8419999999999996</v>
      </c>
      <c r="G184" s="11">
        <f t="shared" si="13"/>
        <v>1199.1000000000001</v>
      </c>
      <c r="H184" s="11">
        <v>0</v>
      </c>
      <c r="I184" s="11">
        <v>593.97240000000011</v>
      </c>
      <c r="J184" s="17">
        <v>0</v>
      </c>
      <c r="K184" s="11">
        <f t="shared" si="14"/>
        <v>526.79999999999995</v>
      </c>
    </row>
    <row r="185" spans="1:11">
      <c r="A185" s="1">
        <v>43735</v>
      </c>
      <c r="D185">
        <v>0</v>
      </c>
      <c r="E185">
        <f t="shared" si="12"/>
        <v>1917.1390000000004</v>
      </c>
      <c r="F185">
        <f>25.4*0.35</f>
        <v>8.8899999999999988</v>
      </c>
      <c r="G185" s="11">
        <f t="shared" si="13"/>
        <v>1207.9900000000002</v>
      </c>
      <c r="H185" s="11">
        <v>0</v>
      </c>
      <c r="I185" s="11">
        <v>593.97240000000011</v>
      </c>
      <c r="J185" s="11">
        <f>0.21*25.4</f>
        <v>5.3339999999999996</v>
      </c>
      <c r="K185" s="11">
        <f t="shared" si="14"/>
        <v>532.1339999999999</v>
      </c>
    </row>
    <row r="186" spans="1:11">
      <c r="A186" s="1">
        <v>43736</v>
      </c>
      <c r="D186">
        <v>30.4</v>
      </c>
      <c r="E186">
        <f t="shared" si="12"/>
        <v>1947.5390000000004</v>
      </c>
      <c r="F186" s="11">
        <v>0</v>
      </c>
      <c r="G186" s="11">
        <f t="shared" si="13"/>
        <v>1207.9900000000002</v>
      </c>
      <c r="H186" s="11">
        <v>0</v>
      </c>
      <c r="I186" s="11">
        <v>593.97240000000011</v>
      </c>
      <c r="J186" s="11">
        <f>25.4*0.36</f>
        <v>9.1439999999999984</v>
      </c>
      <c r="K186" s="11">
        <f t="shared" si="14"/>
        <v>541.27799999999991</v>
      </c>
    </row>
    <row r="187" spans="1:11">
      <c r="A187" s="1">
        <v>43737</v>
      </c>
      <c r="D187">
        <v>0</v>
      </c>
      <c r="E187">
        <f t="shared" si="12"/>
        <v>1947.5390000000004</v>
      </c>
      <c r="F187" s="11">
        <v>0</v>
      </c>
      <c r="G187" s="11">
        <f t="shared" si="13"/>
        <v>1207.9900000000002</v>
      </c>
      <c r="H187" s="11">
        <v>5.5880000000000001</v>
      </c>
      <c r="I187" s="11">
        <v>599.56040000000007</v>
      </c>
      <c r="J187" s="11">
        <f>0.15*25.4</f>
        <v>3.8099999999999996</v>
      </c>
      <c r="K187" s="11">
        <f t="shared" si="14"/>
        <v>545.08799999999985</v>
      </c>
    </row>
    <row r="188" spans="1:11">
      <c r="A188" s="1">
        <v>43738</v>
      </c>
      <c r="D188">
        <v>0</v>
      </c>
      <c r="E188">
        <f t="shared" si="12"/>
        <v>1947.5390000000004</v>
      </c>
      <c r="F188" s="11">
        <v>0</v>
      </c>
      <c r="G188" s="11">
        <f t="shared" si="13"/>
        <v>1207.9900000000002</v>
      </c>
      <c r="H188" s="11">
        <v>27.94</v>
      </c>
      <c r="I188" s="11">
        <v>627.50040000000013</v>
      </c>
      <c r="J188" s="11">
        <v>0</v>
      </c>
      <c r="K188" s="11">
        <f t="shared" si="14"/>
        <v>545.08799999999985</v>
      </c>
    </row>
    <row r="189" spans="1:11">
      <c r="A189" s="1">
        <v>43739</v>
      </c>
      <c r="D189">
        <v>8.4</v>
      </c>
      <c r="E189">
        <f t="shared" si="12"/>
        <v>1955.9390000000005</v>
      </c>
      <c r="F189" s="11">
        <v>0</v>
      </c>
      <c r="G189" s="11">
        <f t="shared" si="13"/>
        <v>1207.9900000000002</v>
      </c>
      <c r="H189">
        <f>0.22*25.4</f>
        <v>5.5880000000000001</v>
      </c>
      <c r="I189" s="11">
        <f t="shared" ref="I189:I252" si="16">H189+I188</f>
        <v>633.08840000000009</v>
      </c>
      <c r="J189" s="11">
        <f>25.4*0.22</f>
        <v>5.5880000000000001</v>
      </c>
      <c r="K189" s="11">
        <f t="shared" si="14"/>
        <v>550.67599999999982</v>
      </c>
    </row>
    <row r="190" spans="1:11">
      <c r="A190" s="1">
        <v>43740</v>
      </c>
      <c r="D190">
        <v>7.8</v>
      </c>
      <c r="E190">
        <f t="shared" si="12"/>
        <v>1963.7390000000005</v>
      </c>
      <c r="F190" s="11">
        <v>0</v>
      </c>
      <c r="G190" s="11">
        <f t="shared" si="13"/>
        <v>1207.9900000000002</v>
      </c>
      <c r="H190">
        <f>0.25*25.4</f>
        <v>6.35</v>
      </c>
      <c r="I190" s="11">
        <f t="shared" si="16"/>
        <v>639.43840000000012</v>
      </c>
      <c r="J190" s="18">
        <f>0.1*25.4</f>
        <v>2.54</v>
      </c>
      <c r="K190" s="11">
        <f t="shared" si="14"/>
        <v>553.21599999999978</v>
      </c>
    </row>
    <row r="191" spans="1:11">
      <c r="A191" s="1">
        <v>43741</v>
      </c>
      <c r="D191">
        <v>2</v>
      </c>
      <c r="E191">
        <f t="shared" si="12"/>
        <v>1965.7390000000005</v>
      </c>
      <c r="F191">
        <f>0.18*25.4</f>
        <v>4.5719999999999992</v>
      </c>
      <c r="G191" s="11">
        <f t="shared" si="13"/>
        <v>1212.5620000000001</v>
      </c>
      <c r="H191">
        <f>1.05*25.4</f>
        <v>26.669999999999998</v>
      </c>
      <c r="I191" s="11">
        <f t="shared" si="16"/>
        <v>666.10840000000007</v>
      </c>
      <c r="J191" s="11">
        <f>25.4*0.15</f>
        <v>3.8099999999999996</v>
      </c>
      <c r="K191" s="11">
        <f t="shared" si="14"/>
        <v>557.02599999999973</v>
      </c>
    </row>
    <row r="192" spans="1:11">
      <c r="A192" s="1">
        <v>43742</v>
      </c>
      <c r="D192">
        <v>0</v>
      </c>
      <c r="E192">
        <f t="shared" si="12"/>
        <v>1965.7390000000005</v>
      </c>
      <c r="F192" s="11">
        <v>0</v>
      </c>
      <c r="G192" s="11">
        <f t="shared" si="13"/>
        <v>1212.5620000000001</v>
      </c>
      <c r="H192">
        <f>1.2*25.4</f>
        <v>30.479999999999997</v>
      </c>
      <c r="I192" s="11">
        <f t="shared" si="16"/>
        <v>696.58840000000009</v>
      </c>
      <c r="J192" s="11">
        <f>25.4*0.14</f>
        <v>3.556</v>
      </c>
      <c r="K192" s="11">
        <f t="shared" si="14"/>
        <v>560.58199999999977</v>
      </c>
    </row>
    <row r="193" spans="1:11">
      <c r="A193" s="1">
        <v>43743</v>
      </c>
      <c r="D193">
        <v>4.2</v>
      </c>
      <c r="E193">
        <f t="shared" si="12"/>
        <v>1969.9390000000005</v>
      </c>
      <c r="F193" s="11">
        <v>0</v>
      </c>
      <c r="G193" s="11">
        <f t="shared" si="13"/>
        <v>1212.5620000000001</v>
      </c>
      <c r="H193" s="17">
        <v>0</v>
      </c>
      <c r="I193" s="11">
        <f t="shared" si="16"/>
        <v>696.58840000000009</v>
      </c>
      <c r="J193" s="11">
        <v>0</v>
      </c>
      <c r="K193" s="11">
        <f t="shared" si="14"/>
        <v>560.58199999999977</v>
      </c>
    </row>
    <row r="194" spans="1:11">
      <c r="A194" s="1">
        <v>43744</v>
      </c>
      <c r="D194">
        <v>0</v>
      </c>
      <c r="E194">
        <f t="shared" si="12"/>
        <v>1969.9390000000005</v>
      </c>
      <c r="F194" s="11">
        <v>0</v>
      </c>
      <c r="G194" s="11">
        <f t="shared" si="13"/>
        <v>1212.5620000000001</v>
      </c>
      <c r="H194" s="17">
        <v>0</v>
      </c>
      <c r="I194" s="11">
        <f t="shared" si="16"/>
        <v>696.58840000000009</v>
      </c>
      <c r="J194" s="17">
        <v>0</v>
      </c>
      <c r="K194" s="11">
        <f t="shared" si="14"/>
        <v>560.58199999999977</v>
      </c>
    </row>
    <row r="195" spans="1:11">
      <c r="A195" s="1">
        <v>43745</v>
      </c>
      <c r="D195">
        <v>6</v>
      </c>
      <c r="E195">
        <f t="shared" si="12"/>
        <v>1975.9390000000005</v>
      </c>
      <c r="F195" s="11">
        <v>0</v>
      </c>
      <c r="G195" s="11">
        <f t="shared" si="13"/>
        <v>1212.5620000000001</v>
      </c>
      <c r="H195" s="17">
        <v>0</v>
      </c>
      <c r="I195" s="11">
        <f t="shared" si="16"/>
        <v>696.58840000000009</v>
      </c>
      <c r="J195" s="17">
        <v>0</v>
      </c>
      <c r="K195" s="11">
        <f t="shared" si="14"/>
        <v>560.58199999999977</v>
      </c>
    </row>
    <row r="196" spans="1:11">
      <c r="A196" s="1">
        <v>43746</v>
      </c>
      <c r="D196">
        <v>0</v>
      </c>
      <c r="E196">
        <f t="shared" si="12"/>
        <v>1975.9390000000005</v>
      </c>
      <c r="F196" s="11">
        <v>0</v>
      </c>
      <c r="G196" s="11">
        <f t="shared" si="13"/>
        <v>1212.5620000000001</v>
      </c>
      <c r="H196" s="17">
        <v>0</v>
      </c>
      <c r="I196" s="11">
        <f t="shared" si="16"/>
        <v>696.58840000000009</v>
      </c>
      <c r="J196" s="17">
        <v>0</v>
      </c>
      <c r="K196" s="11">
        <f t="shared" si="14"/>
        <v>560.58199999999977</v>
      </c>
    </row>
    <row r="197" spans="1:11">
      <c r="A197" s="1">
        <v>43747</v>
      </c>
      <c r="D197">
        <v>0</v>
      </c>
      <c r="E197">
        <f t="shared" si="12"/>
        <v>1975.9390000000005</v>
      </c>
      <c r="F197" s="11">
        <v>0</v>
      </c>
      <c r="G197" s="11">
        <f t="shared" si="13"/>
        <v>1212.5620000000001</v>
      </c>
      <c r="H197" s="17">
        <v>0</v>
      </c>
      <c r="I197" s="11">
        <f t="shared" si="16"/>
        <v>696.58840000000009</v>
      </c>
      <c r="J197" s="17">
        <v>0</v>
      </c>
      <c r="K197" s="11">
        <f t="shared" si="14"/>
        <v>560.58199999999977</v>
      </c>
    </row>
    <row r="198" spans="1:11">
      <c r="A198" s="1">
        <v>43748</v>
      </c>
      <c r="D198">
        <v>0</v>
      </c>
      <c r="E198">
        <f t="shared" si="12"/>
        <v>1975.9390000000005</v>
      </c>
      <c r="F198" s="11">
        <v>0</v>
      </c>
      <c r="G198" s="11">
        <f t="shared" si="13"/>
        <v>1212.5620000000001</v>
      </c>
      <c r="H198" s="17">
        <v>0</v>
      </c>
      <c r="I198" s="11">
        <f t="shared" si="16"/>
        <v>696.58840000000009</v>
      </c>
      <c r="J198" s="17">
        <v>0</v>
      </c>
      <c r="K198" s="11">
        <f t="shared" si="14"/>
        <v>560.58199999999977</v>
      </c>
    </row>
    <row r="199" spans="1:11">
      <c r="A199" s="1">
        <v>43749</v>
      </c>
      <c r="D199">
        <v>0</v>
      </c>
      <c r="E199">
        <f t="shared" si="12"/>
        <v>1975.9390000000005</v>
      </c>
      <c r="F199" s="11">
        <v>0</v>
      </c>
      <c r="G199" s="11">
        <f t="shared" si="13"/>
        <v>1212.5620000000001</v>
      </c>
      <c r="H199" s="17">
        <v>0</v>
      </c>
      <c r="I199" s="11">
        <f t="shared" si="16"/>
        <v>696.58840000000009</v>
      </c>
      <c r="J199">
        <f>25.4*0.86</f>
        <v>21.843999999999998</v>
      </c>
      <c r="K199" s="11">
        <f t="shared" si="14"/>
        <v>582.42599999999982</v>
      </c>
    </row>
    <row r="200" spans="1:11">
      <c r="A200" s="1">
        <v>43750</v>
      </c>
      <c r="D200">
        <v>0</v>
      </c>
      <c r="E200">
        <f t="shared" ref="E200:E263" si="17">D200+E199</f>
        <v>1975.9390000000005</v>
      </c>
      <c r="F200" s="11">
        <v>0</v>
      </c>
      <c r="G200" s="11">
        <f t="shared" ref="G200:G263" si="18">F200+G199</f>
        <v>1212.5620000000001</v>
      </c>
      <c r="H200" s="17">
        <v>0</v>
      </c>
      <c r="I200" s="11">
        <f t="shared" si="16"/>
        <v>696.58840000000009</v>
      </c>
      <c r="J200">
        <f>0.34*25.4</f>
        <v>8.636000000000001</v>
      </c>
      <c r="K200" s="11">
        <f t="shared" ref="K200:K263" si="19">J200+K199</f>
        <v>591.06199999999978</v>
      </c>
    </row>
    <row r="201" spans="1:11">
      <c r="A201" s="1">
        <v>43751</v>
      </c>
      <c r="D201">
        <v>0</v>
      </c>
      <c r="E201">
        <f t="shared" si="17"/>
        <v>1975.9390000000005</v>
      </c>
      <c r="F201" s="11">
        <v>0</v>
      </c>
      <c r="G201" s="11">
        <f t="shared" si="18"/>
        <v>1212.5620000000001</v>
      </c>
      <c r="H201" s="17">
        <v>0</v>
      </c>
      <c r="I201" s="11">
        <f t="shared" si="16"/>
        <v>696.58840000000009</v>
      </c>
      <c r="J201" s="17">
        <v>0</v>
      </c>
      <c r="K201" s="11">
        <f t="shared" si="19"/>
        <v>591.06199999999978</v>
      </c>
    </row>
    <row r="202" spans="1:11">
      <c r="A202" s="1">
        <v>43752</v>
      </c>
      <c r="D202">
        <v>0</v>
      </c>
      <c r="E202">
        <f t="shared" si="17"/>
        <v>1975.9390000000005</v>
      </c>
      <c r="F202" s="11">
        <v>0</v>
      </c>
      <c r="G202" s="11">
        <f t="shared" si="18"/>
        <v>1212.5620000000001</v>
      </c>
      <c r="H202" s="17">
        <v>0</v>
      </c>
      <c r="I202" s="11">
        <f t="shared" si="16"/>
        <v>696.58840000000009</v>
      </c>
      <c r="J202" s="17">
        <v>0</v>
      </c>
      <c r="K202" s="11">
        <f t="shared" si="19"/>
        <v>591.06199999999978</v>
      </c>
    </row>
    <row r="203" spans="1:11">
      <c r="A203" s="1">
        <v>43753</v>
      </c>
      <c r="D203">
        <v>0</v>
      </c>
      <c r="E203">
        <f t="shared" si="17"/>
        <v>1975.9390000000005</v>
      </c>
      <c r="F203" s="11">
        <v>0</v>
      </c>
      <c r="G203" s="11">
        <f t="shared" si="18"/>
        <v>1212.5620000000001</v>
      </c>
      <c r="H203" s="17">
        <v>0</v>
      </c>
      <c r="I203" s="11">
        <f t="shared" si="16"/>
        <v>696.58840000000009</v>
      </c>
      <c r="J203" s="17">
        <v>0</v>
      </c>
      <c r="K203" s="11">
        <f t="shared" si="19"/>
        <v>591.06199999999978</v>
      </c>
    </row>
    <row r="204" spans="1:11">
      <c r="A204" s="1">
        <v>43754</v>
      </c>
      <c r="D204">
        <v>0</v>
      </c>
      <c r="E204">
        <f t="shared" si="17"/>
        <v>1975.9390000000005</v>
      </c>
      <c r="F204" s="11">
        <v>0</v>
      </c>
      <c r="G204" s="11">
        <f t="shared" si="18"/>
        <v>1212.5620000000001</v>
      </c>
      <c r="H204" s="17">
        <v>0</v>
      </c>
      <c r="I204" s="11">
        <f t="shared" si="16"/>
        <v>696.58840000000009</v>
      </c>
      <c r="J204" s="17">
        <v>0</v>
      </c>
      <c r="K204" s="11">
        <f t="shared" si="19"/>
        <v>591.06199999999978</v>
      </c>
    </row>
    <row r="205" spans="1:11">
      <c r="A205" s="1">
        <v>43755</v>
      </c>
      <c r="D205">
        <v>0</v>
      </c>
      <c r="E205">
        <f t="shared" si="17"/>
        <v>1975.9390000000005</v>
      </c>
      <c r="F205" s="11">
        <v>0</v>
      </c>
      <c r="G205" s="11">
        <f t="shared" si="18"/>
        <v>1212.5620000000001</v>
      </c>
      <c r="H205" s="17">
        <v>0</v>
      </c>
      <c r="I205" s="11">
        <f t="shared" si="16"/>
        <v>696.58840000000009</v>
      </c>
      <c r="J205" s="17">
        <v>0</v>
      </c>
      <c r="K205" s="11">
        <f t="shared" si="19"/>
        <v>591.06199999999978</v>
      </c>
    </row>
    <row r="206" spans="1:11">
      <c r="A206" s="1">
        <v>43756</v>
      </c>
      <c r="D206">
        <v>0</v>
      </c>
      <c r="E206">
        <f t="shared" si="17"/>
        <v>1975.9390000000005</v>
      </c>
      <c r="F206" s="11">
        <v>0</v>
      </c>
      <c r="G206" s="11">
        <f t="shared" si="18"/>
        <v>1212.5620000000001</v>
      </c>
      <c r="H206" s="17">
        <v>0</v>
      </c>
      <c r="I206" s="11">
        <f t="shared" si="16"/>
        <v>696.58840000000009</v>
      </c>
      <c r="J206" s="17">
        <f>25.4*0.03</f>
        <v>0.7619999999999999</v>
      </c>
      <c r="K206" s="11">
        <f t="shared" si="19"/>
        <v>591.82399999999973</v>
      </c>
    </row>
    <row r="207" spans="1:11">
      <c r="A207" s="1">
        <v>43757</v>
      </c>
      <c r="D207">
        <v>0</v>
      </c>
      <c r="E207">
        <f t="shared" si="17"/>
        <v>1975.9390000000005</v>
      </c>
      <c r="F207" s="11">
        <v>0</v>
      </c>
      <c r="G207" s="11">
        <f t="shared" si="18"/>
        <v>1212.5620000000001</v>
      </c>
      <c r="H207" s="17">
        <v>0</v>
      </c>
      <c r="I207" s="11">
        <f t="shared" si="16"/>
        <v>696.58840000000009</v>
      </c>
      <c r="J207" s="17">
        <v>0</v>
      </c>
      <c r="K207" s="11">
        <f t="shared" si="19"/>
        <v>591.82399999999973</v>
      </c>
    </row>
    <row r="208" spans="1:11">
      <c r="A208" s="1">
        <v>43758</v>
      </c>
      <c r="D208">
        <v>0</v>
      </c>
      <c r="E208">
        <f t="shared" si="17"/>
        <v>1975.9390000000005</v>
      </c>
      <c r="F208" s="11">
        <v>0</v>
      </c>
      <c r="G208" s="11">
        <f t="shared" si="18"/>
        <v>1212.5620000000001</v>
      </c>
      <c r="H208" s="17">
        <v>0</v>
      </c>
      <c r="I208" s="11">
        <f t="shared" si="16"/>
        <v>696.58840000000009</v>
      </c>
      <c r="J208" s="17">
        <v>0</v>
      </c>
      <c r="K208" s="11">
        <f t="shared" si="19"/>
        <v>591.82399999999973</v>
      </c>
    </row>
    <row r="209" spans="1:11">
      <c r="A209" s="1">
        <v>43759</v>
      </c>
      <c r="D209">
        <v>0</v>
      </c>
      <c r="E209">
        <f t="shared" si="17"/>
        <v>1975.9390000000005</v>
      </c>
      <c r="F209" s="11">
        <v>0</v>
      </c>
      <c r="G209" s="11">
        <f t="shared" si="18"/>
        <v>1212.5620000000001</v>
      </c>
      <c r="H209" s="17">
        <v>0</v>
      </c>
      <c r="I209" s="11">
        <f t="shared" si="16"/>
        <v>696.58840000000009</v>
      </c>
      <c r="J209" s="17">
        <v>0</v>
      </c>
      <c r="K209" s="11">
        <f t="shared" si="19"/>
        <v>591.82399999999973</v>
      </c>
    </row>
    <row r="210" spans="1:11">
      <c r="A210" s="1">
        <v>43760</v>
      </c>
      <c r="D210">
        <v>0</v>
      </c>
      <c r="E210">
        <f t="shared" si="17"/>
        <v>1975.9390000000005</v>
      </c>
      <c r="F210" s="11">
        <v>0</v>
      </c>
      <c r="G210" s="11">
        <f t="shared" si="18"/>
        <v>1212.5620000000001</v>
      </c>
      <c r="H210" s="17">
        <v>0</v>
      </c>
      <c r="I210" s="11">
        <f t="shared" si="16"/>
        <v>696.58840000000009</v>
      </c>
      <c r="J210" s="17">
        <v>0</v>
      </c>
      <c r="K210" s="11">
        <f t="shared" si="19"/>
        <v>591.82399999999973</v>
      </c>
    </row>
    <row r="211" spans="1:11">
      <c r="A211" s="1">
        <v>43761</v>
      </c>
      <c r="D211">
        <v>0</v>
      </c>
      <c r="E211">
        <f t="shared" si="17"/>
        <v>1975.9390000000005</v>
      </c>
      <c r="F211" s="11">
        <v>0</v>
      </c>
      <c r="G211" s="11">
        <f t="shared" si="18"/>
        <v>1212.5620000000001</v>
      </c>
      <c r="H211" s="17">
        <v>0</v>
      </c>
      <c r="I211" s="11">
        <f t="shared" si="16"/>
        <v>696.58840000000009</v>
      </c>
      <c r="J211" s="17">
        <v>0</v>
      </c>
      <c r="K211" s="11">
        <f t="shared" si="19"/>
        <v>591.82399999999973</v>
      </c>
    </row>
    <row r="212" spans="1:11">
      <c r="A212" s="1">
        <v>43762</v>
      </c>
      <c r="D212">
        <v>0</v>
      </c>
      <c r="E212">
        <f t="shared" si="17"/>
        <v>1975.9390000000005</v>
      </c>
      <c r="F212">
        <f>0.7*25.4</f>
        <v>17.779999999999998</v>
      </c>
      <c r="G212" s="11">
        <f t="shared" si="18"/>
        <v>1230.3420000000001</v>
      </c>
      <c r="H212" s="17">
        <v>0</v>
      </c>
      <c r="I212" s="11">
        <f t="shared" si="16"/>
        <v>696.58840000000009</v>
      </c>
      <c r="J212" s="17">
        <v>0</v>
      </c>
      <c r="K212" s="11">
        <f t="shared" si="19"/>
        <v>591.82399999999973</v>
      </c>
    </row>
    <row r="213" spans="1:11">
      <c r="A213" s="1">
        <v>43763</v>
      </c>
      <c r="D213">
        <v>0</v>
      </c>
      <c r="E213">
        <f t="shared" si="17"/>
        <v>1975.9390000000005</v>
      </c>
      <c r="F213">
        <f>0.46*25.4</f>
        <v>11.683999999999999</v>
      </c>
      <c r="G213" s="11">
        <f t="shared" si="18"/>
        <v>1242.0260000000001</v>
      </c>
      <c r="H213" s="17">
        <v>0</v>
      </c>
      <c r="I213" s="11">
        <f t="shared" si="16"/>
        <v>696.58840000000009</v>
      </c>
      <c r="J213" s="17">
        <v>0</v>
      </c>
      <c r="K213" s="11">
        <f t="shared" si="19"/>
        <v>591.82399999999973</v>
      </c>
    </row>
    <row r="214" spans="1:11">
      <c r="A214" s="1">
        <v>43764</v>
      </c>
      <c r="D214">
        <v>0</v>
      </c>
      <c r="E214">
        <f t="shared" si="17"/>
        <v>1975.9390000000005</v>
      </c>
      <c r="F214">
        <f>25.4*0.68</f>
        <v>17.272000000000002</v>
      </c>
      <c r="G214" s="11">
        <f t="shared" si="18"/>
        <v>1259.298</v>
      </c>
      <c r="H214" s="17">
        <v>0</v>
      </c>
      <c r="I214" s="11">
        <f t="shared" si="16"/>
        <v>696.58840000000009</v>
      </c>
      <c r="J214" s="17">
        <v>0</v>
      </c>
      <c r="K214" s="11">
        <f t="shared" si="19"/>
        <v>591.82399999999973</v>
      </c>
    </row>
    <row r="215" spans="1:11">
      <c r="A215" s="1">
        <v>43765</v>
      </c>
      <c r="D215">
        <v>0</v>
      </c>
      <c r="E215">
        <f t="shared" si="17"/>
        <v>1975.9390000000005</v>
      </c>
      <c r="F215" s="11">
        <v>0</v>
      </c>
      <c r="G215" s="11">
        <f t="shared" si="18"/>
        <v>1259.298</v>
      </c>
      <c r="H215" s="17">
        <v>0</v>
      </c>
      <c r="I215" s="11">
        <f t="shared" si="16"/>
        <v>696.58840000000009</v>
      </c>
      <c r="J215" s="17">
        <v>0</v>
      </c>
      <c r="K215" s="11">
        <f t="shared" si="19"/>
        <v>591.82399999999973</v>
      </c>
    </row>
    <row r="216" spans="1:11">
      <c r="A216" s="1">
        <v>43766</v>
      </c>
      <c r="D216">
        <v>55</v>
      </c>
      <c r="E216">
        <f t="shared" si="17"/>
        <v>2030.9390000000005</v>
      </c>
      <c r="F216" s="11">
        <v>0</v>
      </c>
      <c r="G216" s="11">
        <f t="shared" si="18"/>
        <v>1259.298</v>
      </c>
      <c r="H216" s="17">
        <v>0</v>
      </c>
      <c r="I216" s="11">
        <f t="shared" si="16"/>
        <v>696.58840000000009</v>
      </c>
      <c r="J216" s="17">
        <v>0</v>
      </c>
      <c r="K216" s="11">
        <f t="shared" si="19"/>
        <v>591.82399999999973</v>
      </c>
    </row>
    <row r="217" spans="1:11">
      <c r="A217" s="1">
        <v>43767</v>
      </c>
      <c r="D217">
        <v>5.6</v>
      </c>
      <c r="E217">
        <f t="shared" si="17"/>
        <v>2036.5390000000004</v>
      </c>
      <c r="F217" s="11">
        <v>0</v>
      </c>
      <c r="G217" s="11">
        <f t="shared" si="18"/>
        <v>1259.298</v>
      </c>
      <c r="H217" s="17">
        <v>0</v>
      </c>
      <c r="I217" s="11">
        <f t="shared" si="16"/>
        <v>696.58840000000009</v>
      </c>
      <c r="J217" s="17">
        <v>0</v>
      </c>
      <c r="K217" s="11">
        <f t="shared" si="19"/>
        <v>591.82399999999973</v>
      </c>
    </row>
    <row r="218" spans="1:11">
      <c r="A218" s="1">
        <v>43768</v>
      </c>
      <c r="D218">
        <v>2.5</v>
      </c>
      <c r="E218">
        <f t="shared" si="17"/>
        <v>2039.0390000000004</v>
      </c>
      <c r="F218" s="11">
        <v>0</v>
      </c>
      <c r="G218" s="11">
        <f t="shared" si="18"/>
        <v>1259.298</v>
      </c>
      <c r="H218" s="17">
        <v>0</v>
      </c>
      <c r="I218" s="11">
        <f t="shared" si="16"/>
        <v>696.58840000000009</v>
      </c>
      <c r="J218" s="17">
        <v>0</v>
      </c>
      <c r="K218" s="11">
        <f t="shared" si="19"/>
        <v>591.82399999999973</v>
      </c>
    </row>
    <row r="219" spans="1:11">
      <c r="A219" s="1">
        <v>43769</v>
      </c>
      <c r="D219">
        <v>0</v>
      </c>
      <c r="E219">
        <f t="shared" si="17"/>
        <v>2039.0390000000004</v>
      </c>
      <c r="F219" s="11">
        <v>0</v>
      </c>
      <c r="G219" s="11">
        <f t="shared" si="18"/>
        <v>1259.298</v>
      </c>
      <c r="H219" s="17">
        <v>0</v>
      </c>
      <c r="I219" s="11">
        <f t="shared" si="16"/>
        <v>696.58840000000009</v>
      </c>
      <c r="J219" s="17">
        <v>0</v>
      </c>
      <c r="K219" s="11">
        <f t="shared" si="19"/>
        <v>591.82399999999973</v>
      </c>
    </row>
    <row r="220" spans="1:11">
      <c r="A220" s="1">
        <v>43770</v>
      </c>
      <c r="D220">
        <v>0</v>
      </c>
      <c r="E220">
        <f t="shared" si="17"/>
        <v>2039.0390000000004</v>
      </c>
      <c r="F220" s="11">
        <v>0</v>
      </c>
      <c r="G220" s="11">
        <f t="shared" si="18"/>
        <v>1259.298</v>
      </c>
      <c r="H220" s="17">
        <v>0</v>
      </c>
      <c r="I220" s="11">
        <f t="shared" si="16"/>
        <v>696.58840000000009</v>
      </c>
      <c r="J220" s="17">
        <v>0</v>
      </c>
      <c r="K220" s="11">
        <f t="shared" si="19"/>
        <v>591.82399999999973</v>
      </c>
    </row>
    <row r="221" spans="1:11">
      <c r="A221" s="1">
        <v>43771</v>
      </c>
      <c r="D221">
        <v>0</v>
      </c>
      <c r="E221">
        <f t="shared" si="17"/>
        <v>2039.0390000000004</v>
      </c>
      <c r="F221" s="11">
        <v>0</v>
      </c>
      <c r="G221" s="11">
        <f t="shared" si="18"/>
        <v>1259.298</v>
      </c>
      <c r="H221" s="17">
        <v>0</v>
      </c>
      <c r="I221" s="11">
        <f t="shared" si="16"/>
        <v>696.58840000000009</v>
      </c>
      <c r="J221" s="17">
        <v>0</v>
      </c>
      <c r="K221" s="11">
        <f t="shared" si="19"/>
        <v>591.82399999999973</v>
      </c>
    </row>
    <row r="222" spans="1:11">
      <c r="A222" s="1">
        <v>43772</v>
      </c>
      <c r="D222">
        <v>0</v>
      </c>
      <c r="E222">
        <f t="shared" si="17"/>
        <v>2039.0390000000004</v>
      </c>
      <c r="F222" s="11">
        <v>0</v>
      </c>
      <c r="G222" s="11">
        <f t="shared" si="18"/>
        <v>1259.298</v>
      </c>
      <c r="H222" s="17">
        <v>0</v>
      </c>
      <c r="I222" s="11">
        <f t="shared" si="16"/>
        <v>696.58840000000009</v>
      </c>
      <c r="J222" s="17">
        <v>0</v>
      </c>
      <c r="K222" s="11">
        <f t="shared" si="19"/>
        <v>591.82399999999973</v>
      </c>
    </row>
    <row r="223" spans="1:11">
      <c r="A223" s="1">
        <v>43773</v>
      </c>
      <c r="D223">
        <v>0</v>
      </c>
      <c r="E223">
        <f t="shared" si="17"/>
        <v>2039.0390000000004</v>
      </c>
      <c r="F223" s="11">
        <v>0</v>
      </c>
      <c r="G223" s="11">
        <f t="shared" si="18"/>
        <v>1259.298</v>
      </c>
      <c r="H223" s="17">
        <v>0</v>
      </c>
      <c r="I223" s="11">
        <f t="shared" si="16"/>
        <v>696.58840000000009</v>
      </c>
      <c r="J223" s="17">
        <v>0</v>
      </c>
      <c r="K223" s="11">
        <f t="shared" si="19"/>
        <v>591.82399999999973</v>
      </c>
    </row>
    <row r="224" spans="1:11">
      <c r="A224" s="1">
        <v>43774</v>
      </c>
      <c r="D224">
        <v>0</v>
      </c>
      <c r="E224">
        <f t="shared" si="17"/>
        <v>2039.0390000000004</v>
      </c>
      <c r="F224" s="11">
        <v>0</v>
      </c>
      <c r="G224" s="11">
        <f t="shared" si="18"/>
        <v>1259.298</v>
      </c>
      <c r="H224" s="17">
        <v>0</v>
      </c>
      <c r="I224" s="11">
        <f t="shared" si="16"/>
        <v>696.58840000000009</v>
      </c>
      <c r="J224" s="17">
        <v>0</v>
      </c>
      <c r="K224" s="11">
        <f t="shared" si="19"/>
        <v>591.82399999999973</v>
      </c>
    </row>
    <row r="225" spans="1:11">
      <c r="A225" s="1">
        <v>43775</v>
      </c>
      <c r="D225">
        <v>0</v>
      </c>
      <c r="E225">
        <f t="shared" si="17"/>
        <v>2039.0390000000004</v>
      </c>
      <c r="F225" s="11">
        <v>0</v>
      </c>
      <c r="G225" s="11">
        <f t="shared" si="18"/>
        <v>1259.298</v>
      </c>
      <c r="H225" s="17">
        <v>0</v>
      </c>
      <c r="I225" s="11">
        <f t="shared" si="16"/>
        <v>696.58840000000009</v>
      </c>
      <c r="J225" s="17">
        <v>0</v>
      </c>
      <c r="K225" s="11">
        <f t="shared" si="19"/>
        <v>591.82399999999973</v>
      </c>
    </row>
    <row r="226" spans="1:11">
      <c r="A226" s="1">
        <v>43776</v>
      </c>
      <c r="D226">
        <v>0</v>
      </c>
      <c r="E226">
        <f t="shared" si="17"/>
        <v>2039.0390000000004</v>
      </c>
      <c r="F226" s="11">
        <v>0</v>
      </c>
      <c r="G226" s="11">
        <f t="shared" si="18"/>
        <v>1259.298</v>
      </c>
      <c r="H226" s="17">
        <v>0</v>
      </c>
      <c r="I226" s="11">
        <f t="shared" si="16"/>
        <v>696.58840000000009</v>
      </c>
      <c r="J226" s="17">
        <v>0</v>
      </c>
      <c r="K226" s="11">
        <f t="shared" si="19"/>
        <v>591.82399999999973</v>
      </c>
    </row>
    <row r="227" spans="1:11">
      <c r="A227" s="1">
        <v>43777</v>
      </c>
      <c r="D227">
        <v>0</v>
      </c>
      <c r="E227">
        <f t="shared" si="17"/>
        <v>2039.0390000000004</v>
      </c>
      <c r="F227" s="11">
        <v>0</v>
      </c>
      <c r="G227" s="11">
        <f t="shared" si="18"/>
        <v>1259.298</v>
      </c>
      <c r="H227" s="17">
        <v>0</v>
      </c>
      <c r="I227" s="11">
        <f t="shared" si="16"/>
        <v>696.58840000000009</v>
      </c>
      <c r="J227" s="17">
        <v>0</v>
      </c>
      <c r="K227" s="11">
        <f t="shared" si="19"/>
        <v>591.82399999999973</v>
      </c>
    </row>
    <row r="228" spans="1:11">
      <c r="A228" s="1">
        <v>43778</v>
      </c>
      <c r="D228">
        <v>0</v>
      </c>
      <c r="E228">
        <f t="shared" si="17"/>
        <v>2039.0390000000004</v>
      </c>
      <c r="F228" s="11">
        <v>0</v>
      </c>
      <c r="G228" s="11">
        <f t="shared" si="18"/>
        <v>1259.298</v>
      </c>
      <c r="H228" s="17">
        <v>0</v>
      </c>
      <c r="I228" s="11">
        <f t="shared" si="16"/>
        <v>696.58840000000009</v>
      </c>
      <c r="J228" s="17">
        <v>0</v>
      </c>
      <c r="K228" s="11">
        <f t="shared" si="19"/>
        <v>591.82399999999973</v>
      </c>
    </row>
    <row r="229" spans="1:11">
      <c r="A229" s="1">
        <v>43779</v>
      </c>
      <c r="D229">
        <v>0</v>
      </c>
      <c r="E229">
        <f t="shared" si="17"/>
        <v>2039.0390000000004</v>
      </c>
      <c r="F229" s="11">
        <v>0</v>
      </c>
      <c r="G229" s="11">
        <f t="shared" si="18"/>
        <v>1259.298</v>
      </c>
      <c r="H229" s="17">
        <v>0</v>
      </c>
      <c r="I229" s="11">
        <f t="shared" si="16"/>
        <v>696.58840000000009</v>
      </c>
      <c r="J229" s="17">
        <v>0</v>
      </c>
      <c r="K229" s="11">
        <f t="shared" si="19"/>
        <v>591.82399999999973</v>
      </c>
    </row>
    <row r="230" spans="1:11">
      <c r="A230" s="1">
        <v>43780</v>
      </c>
      <c r="D230">
        <v>0</v>
      </c>
      <c r="E230">
        <f t="shared" si="17"/>
        <v>2039.0390000000004</v>
      </c>
      <c r="F230" s="11">
        <v>0</v>
      </c>
      <c r="G230" s="11">
        <f t="shared" si="18"/>
        <v>1259.298</v>
      </c>
      <c r="H230" s="17">
        <v>0</v>
      </c>
      <c r="I230" s="11">
        <f t="shared" si="16"/>
        <v>696.58840000000009</v>
      </c>
      <c r="J230" s="17">
        <v>0</v>
      </c>
      <c r="K230" s="11">
        <f t="shared" si="19"/>
        <v>591.82399999999973</v>
      </c>
    </row>
    <row r="231" spans="1:11">
      <c r="A231" s="1">
        <v>43781</v>
      </c>
      <c r="D231">
        <v>0</v>
      </c>
      <c r="E231">
        <f t="shared" si="17"/>
        <v>2039.0390000000004</v>
      </c>
      <c r="F231" s="11">
        <v>0</v>
      </c>
      <c r="G231" s="11">
        <f t="shared" si="18"/>
        <v>1259.298</v>
      </c>
      <c r="H231" s="17">
        <v>0</v>
      </c>
      <c r="I231" s="11">
        <f t="shared" si="16"/>
        <v>696.58840000000009</v>
      </c>
      <c r="J231" s="17">
        <v>0</v>
      </c>
      <c r="K231" s="11">
        <f t="shared" si="19"/>
        <v>591.82399999999973</v>
      </c>
    </row>
    <row r="232" spans="1:11">
      <c r="A232" s="1">
        <v>43782</v>
      </c>
      <c r="D232">
        <v>0</v>
      </c>
      <c r="E232">
        <f t="shared" si="17"/>
        <v>2039.0390000000004</v>
      </c>
      <c r="F232" s="11">
        <v>0</v>
      </c>
      <c r="G232" s="11">
        <f t="shared" si="18"/>
        <v>1259.298</v>
      </c>
      <c r="H232" s="17">
        <v>0</v>
      </c>
      <c r="I232" s="11">
        <f t="shared" si="16"/>
        <v>696.58840000000009</v>
      </c>
      <c r="J232" s="17">
        <v>0</v>
      </c>
      <c r="K232" s="11">
        <f t="shared" si="19"/>
        <v>591.82399999999973</v>
      </c>
    </row>
    <row r="233" spans="1:11">
      <c r="A233" s="1">
        <v>43783</v>
      </c>
      <c r="D233">
        <v>0</v>
      </c>
      <c r="E233">
        <f t="shared" si="17"/>
        <v>2039.0390000000004</v>
      </c>
      <c r="F233" s="11">
        <v>0</v>
      </c>
      <c r="G233" s="11">
        <f t="shared" si="18"/>
        <v>1259.298</v>
      </c>
      <c r="H233" s="17">
        <v>0</v>
      </c>
      <c r="I233" s="11">
        <f t="shared" si="16"/>
        <v>696.58840000000009</v>
      </c>
      <c r="J233" s="17">
        <v>0</v>
      </c>
      <c r="K233" s="11">
        <f t="shared" si="19"/>
        <v>591.82399999999973</v>
      </c>
    </row>
    <row r="234" spans="1:11">
      <c r="A234" s="1">
        <v>43784</v>
      </c>
      <c r="D234">
        <v>0</v>
      </c>
      <c r="E234">
        <f t="shared" si="17"/>
        <v>2039.0390000000004</v>
      </c>
      <c r="F234" s="11">
        <v>0</v>
      </c>
      <c r="G234" s="11">
        <f t="shared" si="18"/>
        <v>1259.298</v>
      </c>
      <c r="H234" s="17">
        <v>0</v>
      </c>
      <c r="I234" s="11">
        <f t="shared" si="16"/>
        <v>696.58840000000009</v>
      </c>
      <c r="J234" s="17">
        <v>0</v>
      </c>
      <c r="K234" s="11">
        <f t="shared" si="19"/>
        <v>591.82399999999973</v>
      </c>
    </row>
    <row r="235" spans="1:11">
      <c r="A235" s="1">
        <v>43785</v>
      </c>
      <c r="D235">
        <v>0</v>
      </c>
      <c r="E235">
        <f t="shared" si="17"/>
        <v>2039.0390000000004</v>
      </c>
      <c r="F235" s="11">
        <v>0</v>
      </c>
      <c r="G235" s="11">
        <f t="shared" si="18"/>
        <v>1259.298</v>
      </c>
      <c r="H235" s="17">
        <v>0</v>
      </c>
      <c r="I235" s="11">
        <f t="shared" si="16"/>
        <v>696.58840000000009</v>
      </c>
      <c r="J235" s="17">
        <v>0</v>
      </c>
      <c r="K235" s="11">
        <f t="shared" si="19"/>
        <v>591.82399999999973</v>
      </c>
    </row>
    <row r="236" spans="1:11">
      <c r="A236" s="1">
        <v>43786</v>
      </c>
      <c r="D236">
        <v>0</v>
      </c>
      <c r="E236">
        <f t="shared" si="17"/>
        <v>2039.0390000000004</v>
      </c>
      <c r="F236" s="11">
        <v>0</v>
      </c>
      <c r="G236" s="11">
        <f t="shared" si="18"/>
        <v>1259.298</v>
      </c>
      <c r="H236" s="17">
        <v>0</v>
      </c>
      <c r="I236" s="11">
        <f t="shared" si="16"/>
        <v>696.58840000000009</v>
      </c>
      <c r="J236" s="17">
        <v>0</v>
      </c>
      <c r="K236" s="11">
        <f t="shared" si="19"/>
        <v>591.82399999999973</v>
      </c>
    </row>
    <row r="237" spans="1:11">
      <c r="A237" s="1">
        <v>43787</v>
      </c>
      <c r="D237">
        <v>0</v>
      </c>
      <c r="E237">
        <f t="shared" si="17"/>
        <v>2039.0390000000004</v>
      </c>
      <c r="F237" s="11">
        <v>0</v>
      </c>
      <c r="G237" s="11">
        <f t="shared" si="18"/>
        <v>1259.298</v>
      </c>
      <c r="H237" s="17">
        <v>0</v>
      </c>
      <c r="I237" s="11">
        <f t="shared" si="16"/>
        <v>696.58840000000009</v>
      </c>
      <c r="J237" s="17">
        <v>0</v>
      </c>
      <c r="K237" s="11">
        <f t="shared" si="19"/>
        <v>591.82399999999973</v>
      </c>
    </row>
    <row r="238" spans="1:11">
      <c r="A238" s="1">
        <v>43788</v>
      </c>
      <c r="D238">
        <v>0</v>
      </c>
      <c r="E238">
        <f t="shared" si="17"/>
        <v>2039.0390000000004</v>
      </c>
      <c r="F238" s="11">
        <v>0</v>
      </c>
      <c r="G238" s="11">
        <f t="shared" si="18"/>
        <v>1259.298</v>
      </c>
      <c r="H238" s="17">
        <v>0</v>
      </c>
      <c r="I238" s="11">
        <f t="shared" si="16"/>
        <v>696.58840000000009</v>
      </c>
      <c r="J238" s="17">
        <v>0</v>
      </c>
      <c r="K238" s="11">
        <f t="shared" si="19"/>
        <v>591.82399999999973</v>
      </c>
    </row>
    <row r="239" spans="1:11">
      <c r="A239" s="1">
        <v>43789</v>
      </c>
      <c r="D239">
        <v>0</v>
      </c>
      <c r="E239">
        <f t="shared" si="17"/>
        <v>2039.0390000000004</v>
      </c>
      <c r="F239" s="11">
        <v>0</v>
      </c>
      <c r="G239" s="11">
        <f t="shared" si="18"/>
        <v>1259.298</v>
      </c>
      <c r="H239" s="17">
        <v>0</v>
      </c>
      <c r="I239" s="11">
        <f t="shared" si="16"/>
        <v>696.58840000000009</v>
      </c>
      <c r="J239" s="17">
        <v>0</v>
      </c>
      <c r="K239" s="11">
        <f t="shared" si="19"/>
        <v>591.82399999999973</v>
      </c>
    </row>
    <row r="240" spans="1:11">
      <c r="A240" s="1">
        <v>43790</v>
      </c>
      <c r="D240">
        <v>0</v>
      </c>
      <c r="E240">
        <f t="shared" si="17"/>
        <v>2039.0390000000004</v>
      </c>
      <c r="F240" s="11">
        <v>0</v>
      </c>
      <c r="G240" s="11">
        <f t="shared" si="18"/>
        <v>1259.298</v>
      </c>
      <c r="H240" s="17">
        <v>0</v>
      </c>
      <c r="I240" s="11">
        <f t="shared" si="16"/>
        <v>696.58840000000009</v>
      </c>
      <c r="J240" s="17">
        <v>0</v>
      </c>
      <c r="K240" s="11">
        <f t="shared" si="19"/>
        <v>591.82399999999973</v>
      </c>
    </row>
    <row r="241" spans="1:11">
      <c r="A241" s="1">
        <v>43791</v>
      </c>
      <c r="D241">
        <v>0</v>
      </c>
      <c r="E241">
        <f t="shared" si="17"/>
        <v>2039.0390000000004</v>
      </c>
      <c r="F241" s="11">
        <v>0</v>
      </c>
      <c r="G241" s="11">
        <f t="shared" si="18"/>
        <v>1259.298</v>
      </c>
      <c r="H241" s="17">
        <v>0</v>
      </c>
      <c r="I241" s="11">
        <f t="shared" si="16"/>
        <v>696.58840000000009</v>
      </c>
      <c r="J241" s="17">
        <v>0</v>
      </c>
      <c r="K241" s="11">
        <f t="shared" si="19"/>
        <v>591.82399999999973</v>
      </c>
    </row>
    <row r="242" spans="1:11">
      <c r="A242" s="1">
        <v>43792</v>
      </c>
      <c r="D242">
        <v>0</v>
      </c>
      <c r="E242">
        <f t="shared" si="17"/>
        <v>2039.0390000000004</v>
      </c>
      <c r="F242" s="11">
        <v>0</v>
      </c>
      <c r="G242" s="11">
        <f t="shared" si="18"/>
        <v>1259.298</v>
      </c>
      <c r="H242" s="17">
        <v>0</v>
      </c>
      <c r="I242" s="11">
        <f t="shared" si="16"/>
        <v>696.58840000000009</v>
      </c>
      <c r="J242" s="17">
        <v>0</v>
      </c>
      <c r="K242" s="11">
        <f t="shared" si="19"/>
        <v>591.82399999999973</v>
      </c>
    </row>
    <row r="243" spans="1:11">
      <c r="A243" s="1">
        <v>43793</v>
      </c>
      <c r="D243">
        <v>0</v>
      </c>
      <c r="E243">
        <f t="shared" si="17"/>
        <v>2039.0390000000004</v>
      </c>
      <c r="F243" s="11">
        <v>0</v>
      </c>
      <c r="G243" s="11">
        <f t="shared" si="18"/>
        <v>1259.298</v>
      </c>
      <c r="H243" s="17">
        <v>0</v>
      </c>
      <c r="I243" s="11">
        <f t="shared" si="16"/>
        <v>696.58840000000009</v>
      </c>
      <c r="J243" s="17">
        <v>0</v>
      </c>
      <c r="K243" s="11">
        <f t="shared" si="19"/>
        <v>591.82399999999973</v>
      </c>
    </row>
    <row r="244" spans="1:11">
      <c r="A244" s="1">
        <v>43794</v>
      </c>
      <c r="D244">
        <v>0</v>
      </c>
      <c r="E244">
        <f t="shared" si="17"/>
        <v>2039.0390000000004</v>
      </c>
      <c r="F244" s="11">
        <v>0</v>
      </c>
      <c r="G244" s="11">
        <f t="shared" si="18"/>
        <v>1259.298</v>
      </c>
      <c r="H244" s="17">
        <v>0</v>
      </c>
      <c r="I244" s="11">
        <f t="shared" si="16"/>
        <v>696.58840000000009</v>
      </c>
      <c r="J244" s="17">
        <v>0</v>
      </c>
      <c r="K244" s="11">
        <f t="shared" si="19"/>
        <v>591.82399999999973</v>
      </c>
    </row>
    <row r="245" spans="1:11">
      <c r="A245" s="1">
        <v>43795</v>
      </c>
      <c r="D245">
        <v>0</v>
      </c>
      <c r="E245">
        <f t="shared" si="17"/>
        <v>2039.0390000000004</v>
      </c>
      <c r="F245" s="11">
        <v>0</v>
      </c>
      <c r="G245" s="11">
        <f t="shared" si="18"/>
        <v>1259.298</v>
      </c>
      <c r="H245" s="17">
        <v>0</v>
      </c>
      <c r="I245" s="11">
        <f t="shared" si="16"/>
        <v>696.58840000000009</v>
      </c>
      <c r="J245" s="17">
        <v>0</v>
      </c>
      <c r="K245" s="11">
        <f t="shared" si="19"/>
        <v>591.82399999999973</v>
      </c>
    </row>
    <row r="246" spans="1:11">
      <c r="A246" s="1">
        <v>43796</v>
      </c>
      <c r="D246">
        <v>0</v>
      </c>
      <c r="E246">
        <f t="shared" si="17"/>
        <v>2039.0390000000004</v>
      </c>
      <c r="F246" s="11">
        <v>0</v>
      </c>
      <c r="G246" s="11">
        <f t="shared" si="18"/>
        <v>1259.298</v>
      </c>
      <c r="H246" s="17">
        <v>0</v>
      </c>
      <c r="I246" s="11">
        <f t="shared" si="16"/>
        <v>696.58840000000009</v>
      </c>
      <c r="J246" s="17">
        <v>0</v>
      </c>
      <c r="K246" s="11">
        <f t="shared" si="19"/>
        <v>591.82399999999973</v>
      </c>
    </row>
    <row r="247" spans="1:11">
      <c r="A247" s="1">
        <v>43797</v>
      </c>
      <c r="D247">
        <v>0</v>
      </c>
      <c r="E247">
        <f t="shared" si="17"/>
        <v>2039.0390000000004</v>
      </c>
      <c r="F247" s="11">
        <v>0</v>
      </c>
      <c r="G247" s="11">
        <f t="shared" si="18"/>
        <v>1259.298</v>
      </c>
      <c r="H247" s="17">
        <v>0</v>
      </c>
      <c r="I247" s="11">
        <f t="shared" si="16"/>
        <v>696.58840000000009</v>
      </c>
      <c r="J247" s="17">
        <v>0</v>
      </c>
      <c r="K247" s="11">
        <f t="shared" si="19"/>
        <v>591.82399999999973</v>
      </c>
    </row>
    <row r="248" spans="1:11">
      <c r="A248" s="1">
        <v>43798</v>
      </c>
      <c r="D248">
        <v>0</v>
      </c>
      <c r="E248">
        <f t="shared" si="17"/>
        <v>2039.0390000000004</v>
      </c>
      <c r="F248" s="11">
        <v>0</v>
      </c>
      <c r="G248" s="11">
        <f t="shared" si="18"/>
        <v>1259.298</v>
      </c>
      <c r="H248" s="17">
        <v>0</v>
      </c>
      <c r="I248" s="11">
        <f t="shared" si="16"/>
        <v>696.58840000000009</v>
      </c>
      <c r="J248" s="17">
        <v>0</v>
      </c>
      <c r="K248" s="11">
        <f t="shared" si="19"/>
        <v>591.82399999999973</v>
      </c>
    </row>
    <row r="249" spans="1:11">
      <c r="A249" s="1">
        <v>43799</v>
      </c>
      <c r="D249">
        <v>0</v>
      </c>
      <c r="E249">
        <f t="shared" si="17"/>
        <v>2039.0390000000004</v>
      </c>
      <c r="F249" s="11">
        <v>0</v>
      </c>
      <c r="G249" s="11">
        <f t="shared" si="18"/>
        <v>1259.298</v>
      </c>
      <c r="H249" s="17">
        <v>0</v>
      </c>
      <c r="I249" s="11">
        <f t="shared" si="16"/>
        <v>696.58840000000009</v>
      </c>
      <c r="J249" s="17">
        <v>0</v>
      </c>
      <c r="K249" s="11">
        <f t="shared" si="19"/>
        <v>591.82399999999973</v>
      </c>
    </row>
    <row r="250" spans="1:11">
      <c r="A250" s="1">
        <v>43800</v>
      </c>
      <c r="D250">
        <v>0</v>
      </c>
      <c r="E250">
        <f t="shared" si="17"/>
        <v>2039.0390000000004</v>
      </c>
      <c r="F250" s="11">
        <v>0</v>
      </c>
      <c r="G250" s="11">
        <f t="shared" si="18"/>
        <v>1259.298</v>
      </c>
      <c r="H250" s="17">
        <v>0</v>
      </c>
      <c r="I250" s="11">
        <f t="shared" si="16"/>
        <v>696.58840000000009</v>
      </c>
      <c r="J250" s="17">
        <v>0</v>
      </c>
      <c r="K250" s="11">
        <f t="shared" si="19"/>
        <v>591.82399999999973</v>
      </c>
    </row>
    <row r="251" spans="1:11">
      <c r="A251" s="1">
        <v>43801</v>
      </c>
      <c r="D251">
        <v>0</v>
      </c>
      <c r="E251">
        <f t="shared" si="17"/>
        <v>2039.0390000000004</v>
      </c>
      <c r="F251" s="11">
        <v>0</v>
      </c>
      <c r="G251" s="11">
        <f t="shared" si="18"/>
        <v>1259.298</v>
      </c>
      <c r="H251" s="17">
        <v>0</v>
      </c>
      <c r="I251" s="11">
        <f t="shared" si="16"/>
        <v>696.58840000000009</v>
      </c>
      <c r="J251" s="17">
        <v>0</v>
      </c>
      <c r="K251" s="11">
        <f t="shared" si="19"/>
        <v>591.82399999999973</v>
      </c>
    </row>
    <row r="252" spans="1:11">
      <c r="A252" s="1">
        <v>43802</v>
      </c>
      <c r="D252">
        <v>0</v>
      </c>
      <c r="E252">
        <f t="shared" si="17"/>
        <v>2039.0390000000004</v>
      </c>
      <c r="F252" s="11">
        <v>0</v>
      </c>
      <c r="G252" s="11">
        <f t="shared" si="18"/>
        <v>1259.298</v>
      </c>
      <c r="H252" s="17">
        <v>0</v>
      </c>
      <c r="I252" s="11">
        <f t="shared" si="16"/>
        <v>696.58840000000009</v>
      </c>
      <c r="J252" s="17">
        <v>0</v>
      </c>
      <c r="K252" s="11">
        <f t="shared" si="19"/>
        <v>591.82399999999973</v>
      </c>
    </row>
    <row r="253" spans="1:11">
      <c r="A253" s="1">
        <v>43803</v>
      </c>
      <c r="D253">
        <v>0</v>
      </c>
      <c r="E253">
        <f t="shared" si="17"/>
        <v>2039.0390000000004</v>
      </c>
      <c r="F253" s="11">
        <v>0</v>
      </c>
      <c r="G253" s="11">
        <f t="shared" si="18"/>
        <v>1259.298</v>
      </c>
      <c r="H253" s="17">
        <v>0</v>
      </c>
      <c r="I253" s="11">
        <f t="shared" ref="I253:I316" si="20">H253+I252</f>
        <v>696.58840000000009</v>
      </c>
      <c r="J253" s="17">
        <v>0</v>
      </c>
      <c r="K253" s="11">
        <f t="shared" si="19"/>
        <v>591.82399999999973</v>
      </c>
    </row>
    <row r="254" spans="1:11">
      <c r="A254" s="1">
        <v>43804</v>
      </c>
      <c r="D254">
        <v>0</v>
      </c>
      <c r="E254">
        <f t="shared" si="17"/>
        <v>2039.0390000000004</v>
      </c>
      <c r="F254" s="11">
        <v>0</v>
      </c>
      <c r="G254" s="11">
        <f t="shared" si="18"/>
        <v>1259.298</v>
      </c>
      <c r="H254" s="17">
        <f>0.1*25.4</f>
        <v>2.54</v>
      </c>
      <c r="I254" s="11">
        <f t="shared" si="20"/>
        <v>699.12840000000006</v>
      </c>
      <c r="J254" s="17">
        <v>0</v>
      </c>
      <c r="K254" s="11">
        <f t="shared" si="19"/>
        <v>591.82399999999973</v>
      </c>
    </row>
    <row r="255" spans="1:11">
      <c r="A255" s="1">
        <v>43805</v>
      </c>
      <c r="D255">
        <v>0</v>
      </c>
      <c r="E255">
        <f t="shared" si="17"/>
        <v>2039.0390000000004</v>
      </c>
      <c r="F255" s="11">
        <v>0</v>
      </c>
      <c r="G255" s="11">
        <f t="shared" si="18"/>
        <v>1259.298</v>
      </c>
      <c r="H255" s="17">
        <f>1.85*25.4</f>
        <v>46.99</v>
      </c>
      <c r="I255" s="11">
        <f t="shared" si="20"/>
        <v>746.11840000000007</v>
      </c>
      <c r="J255" s="17">
        <v>0</v>
      </c>
      <c r="K255" s="11">
        <f t="shared" si="19"/>
        <v>591.82399999999973</v>
      </c>
    </row>
    <row r="256" spans="1:11">
      <c r="A256" s="1">
        <v>43806</v>
      </c>
      <c r="D256">
        <v>0</v>
      </c>
      <c r="E256">
        <f t="shared" si="17"/>
        <v>2039.0390000000004</v>
      </c>
      <c r="F256" s="11">
        <v>0</v>
      </c>
      <c r="G256" s="11">
        <f t="shared" si="18"/>
        <v>1259.298</v>
      </c>
      <c r="H256" s="17">
        <f>0.11*25.4</f>
        <v>2.794</v>
      </c>
      <c r="I256" s="11">
        <f t="shared" si="20"/>
        <v>748.91240000000005</v>
      </c>
      <c r="J256" s="17">
        <v>0</v>
      </c>
      <c r="K256" s="11">
        <f t="shared" si="19"/>
        <v>591.82399999999973</v>
      </c>
    </row>
    <row r="257" spans="1:11">
      <c r="A257" s="1">
        <v>43807</v>
      </c>
      <c r="D257">
        <v>0</v>
      </c>
      <c r="E257">
        <f t="shared" si="17"/>
        <v>2039.0390000000004</v>
      </c>
      <c r="F257" s="11">
        <v>0</v>
      </c>
      <c r="G257" s="11">
        <f t="shared" si="18"/>
        <v>1259.298</v>
      </c>
      <c r="H257" s="17">
        <v>0</v>
      </c>
      <c r="I257" s="11">
        <f t="shared" si="20"/>
        <v>748.91240000000005</v>
      </c>
      <c r="J257" s="17">
        <v>0</v>
      </c>
      <c r="K257" s="11">
        <f t="shared" si="19"/>
        <v>591.82399999999973</v>
      </c>
    </row>
    <row r="258" spans="1:11">
      <c r="A258" s="1">
        <v>43808</v>
      </c>
      <c r="D258">
        <v>0</v>
      </c>
      <c r="E258">
        <f t="shared" si="17"/>
        <v>2039.0390000000004</v>
      </c>
      <c r="F258" s="11">
        <v>0</v>
      </c>
      <c r="G258" s="11">
        <f t="shared" si="18"/>
        <v>1259.298</v>
      </c>
      <c r="H258" s="17">
        <v>0</v>
      </c>
      <c r="I258" s="11">
        <f t="shared" si="20"/>
        <v>748.91240000000005</v>
      </c>
      <c r="J258" s="17">
        <v>0</v>
      </c>
      <c r="K258" s="11">
        <f t="shared" si="19"/>
        <v>591.82399999999973</v>
      </c>
    </row>
    <row r="259" spans="1:11">
      <c r="A259" s="1">
        <v>43809</v>
      </c>
      <c r="D259">
        <v>0</v>
      </c>
      <c r="E259">
        <f t="shared" si="17"/>
        <v>2039.0390000000004</v>
      </c>
      <c r="F259" s="11">
        <f>0.53*25.4</f>
        <v>13.462</v>
      </c>
      <c r="G259" s="11">
        <f t="shared" si="18"/>
        <v>1272.76</v>
      </c>
      <c r="H259" s="17">
        <v>0</v>
      </c>
      <c r="I259" s="11">
        <f t="shared" si="20"/>
        <v>748.91240000000005</v>
      </c>
      <c r="J259" s="17">
        <v>0</v>
      </c>
      <c r="K259" s="11">
        <f t="shared" si="19"/>
        <v>591.82399999999973</v>
      </c>
    </row>
    <row r="260" spans="1:11">
      <c r="A260" s="1">
        <v>43810</v>
      </c>
      <c r="D260">
        <v>0</v>
      </c>
      <c r="E260">
        <f t="shared" si="17"/>
        <v>2039.0390000000004</v>
      </c>
      <c r="F260" s="11">
        <v>0</v>
      </c>
      <c r="G260" s="11">
        <f t="shared" si="18"/>
        <v>1272.76</v>
      </c>
      <c r="H260" s="17">
        <v>0</v>
      </c>
      <c r="I260" s="11">
        <f t="shared" si="20"/>
        <v>748.91240000000005</v>
      </c>
      <c r="J260" s="17">
        <v>0</v>
      </c>
      <c r="K260" s="11">
        <f t="shared" si="19"/>
        <v>591.82399999999973</v>
      </c>
    </row>
    <row r="261" spans="1:11">
      <c r="A261" s="1">
        <v>43811</v>
      </c>
      <c r="D261">
        <v>0</v>
      </c>
      <c r="E261">
        <f t="shared" si="17"/>
        <v>2039.0390000000004</v>
      </c>
      <c r="F261" s="11">
        <v>0</v>
      </c>
      <c r="G261" s="11">
        <f t="shared" si="18"/>
        <v>1272.76</v>
      </c>
      <c r="H261" s="17">
        <v>0</v>
      </c>
      <c r="I261" s="11">
        <f t="shared" si="20"/>
        <v>748.91240000000005</v>
      </c>
      <c r="J261" s="17">
        <v>0</v>
      </c>
      <c r="K261" s="11">
        <f t="shared" si="19"/>
        <v>591.82399999999973</v>
      </c>
    </row>
    <row r="262" spans="1:11">
      <c r="A262" s="1">
        <v>43812</v>
      </c>
      <c r="D262">
        <v>0</v>
      </c>
      <c r="E262">
        <f t="shared" si="17"/>
        <v>2039.0390000000004</v>
      </c>
      <c r="F262" s="11">
        <v>0</v>
      </c>
      <c r="G262" s="11">
        <f t="shared" si="18"/>
        <v>1272.76</v>
      </c>
      <c r="H262" s="17">
        <v>0</v>
      </c>
      <c r="I262" s="11">
        <f t="shared" si="20"/>
        <v>748.91240000000005</v>
      </c>
      <c r="J262" s="17">
        <v>0</v>
      </c>
      <c r="K262" s="11">
        <f t="shared" si="19"/>
        <v>591.82399999999973</v>
      </c>
    </row>
    <row r="263" spans="1:11">
      <c r="A263" s="1">
        <v>43813</v>
      </c>
      <c r="D263">
        <v>0</v>
      </c>
      <c r="E263">
        <f t="shared" si="17"/>
        <v>2039.0390000000004</v>
      </c>
      <c r="F263" s="11">
        <v>0</v>
      </c>
      <c r="G263" s="11">
        <f t="shared" si="18"/>
        <v>1272.76</v>
      </c>
      <c r="H263" s="17">
        <v>0</v>
      </c>
      <c r="I263" s="11">
        <f t="shared" si="20"/>
        <v>748.91240000000005</v>
      </c>
      <c r="J263" s="17">
        <v>0</v>
      </c>
      <c r="K263" s="11">
        <f t="shared" si="19"/>
        <v>591.82399999999973</v>
      </c>
    </row>
    <row r="264" spans="1:11">
      <c r="A264" s="1">
        <v>43814</v>
      </c>
      <c r="D264">
        <v>0</v>
      </c>
      <c r="E264">
        <f t="shared" ref="E264:E327" si="21">D264+E263</f>
        <v>2039.0390000000004</v>
      </c>
      <c r="F264" s="11">
        <v>0</v>
      </c>
      <c r="G264" s="11">
        <f t="shared" ref="G264:G327" si="22">F264+G263</f>
        <v>1272.76</v>
      </c>
      <c r="H264" s="17">
        <v>0</v>
      </c>
      <c r="I264" s="11">
        <f t="shared" si="20"/>
        <v>748.91240000000005</v>
      </c>
      <c r="J264" s="17">
        <v>0</v>
      </c>
      <c r="K264" s="11">
        <f t="shared" ref="K264:K327" si="23">J264+K263</f>
        <v>591.82399999999973</v>
      </c>
    </row>
    <row r="265" spans="1:11">
      <c r="A265" s="1">
        <v>43815</v>
      </c>
      <c r="D265">
        <v>0</v>
      </c>
      <c r="E265">
        <f t="shared" si="21"/>
        <v>2039.0390000000004</v>
      </c>
      <c r="F265" s="11">
        <v>0</v>
      </c>
      <c r="G265" s="11">
        <f t="shared" si="22"/>
        <v>1272.76</v>
      </c>
      <c r="H265" s="17">
        <v>0</v>
      </c>
      <c r="I265" s="11">
        <f t="shared" si="20"/>
        <v>748.91240000000005</v>
      </c>
      <c r="J265" s="17">
        <v>0</v>
      </c>
      <c r="K265" s="11">
        <f t="shared" si="23"/>
        <v>591.82399999999973</v>
      </c>
    </row>
    <row r="266" spans="1:11">
      <c r="A266" s="1">
        <v>43816</v>
      </c>
      <c r="D266">
        <v>0</v>
      </c>
      <c r="E266">
        <f t="shared" si="21"/>
        <v>2039.0390000000004</v>
      </c>
      <c r="F266" s="11">
        <v>0</v>
      </c>
      <c r="G266" s="11">
        <f t="shared" si="22"/>
        <v>1272.76</v>
      </c>
      <c r="H266" s="17">
        <v>0</v>
      </c>
      <c r="I266" s="11">
        <f t="shared" si="20"/>
        <v>748.91240000000005</v>
      </c>
      <c r="J266" s="17">
        <v>0</v>
      </c>
      <c r="K266" s="11">
        <f t="shared" si="23"/>
        <v>591.82399999999973</v>
      </c>
    </row>
    <row r="267" spans="1:11">
      <c r="A267" s="1">
        <v>43817</v>
      </c>
      <c r="D267">
        <v>0</v>
      </c>
      <c r="E267">
        <f t="shared" si="21"/>
        <v>2039.0390000000004</v>
      </c>
      <c r="F267" s="11">
        <v>0</v>
      </c>
      <c r="G267" s="11">
        <f t="shared" si="22"/>
        <v>1272.76</v>
      </c>
      <c r="H267" s="17">
        <v>0</v>
      </c>
      <c r="I267" s="11">
        <f t="shared" si="20"/>
        <v>748.91240000000005</v>
      </c>
      <c r="J267" s="17">
        <v>0</v>
      </c>
      <c r="K267" s="11">
        <f t="shared" si="23"/>
        <v>591.82399999999973</v>
      </c>
    </row>
    <row r="268" spans="1:11">
      <c r="A268" s="1">
        <v>43818</v>
      </c>
      <c r="D268">
        <v>0</v>
      </c>
      <c r="E268">
        <f t="shared" si="21"/>
        <v>2039.0390000000004</v>
      </c>
      <c r="F268" s="11">
        <v>0</v>
      </c>
      <c r="G268" s="11">
        <f t="shared" si="22"/>
        <v>1272.76</v>
      </c>
      <c r="H268" s="17">
        <v>0</v>
      </c>
      <c r="I268" s="11">
        <f t="shared" si="20"/>
        <v>748.91240000000005</v>
      </c>
      <c r="J268" s="17">
        <v>0</v>
      </c>
      <c r="K268" s="11">
        <f t="shared" si="23"/>
        <v>591.82399999999973</v>
      </c>
    </row>
    <row r="269" spans="1:11">
      <c r="A269" s="1">
        <v>43819</v>
      </c>
      <c r="D269">
        <v>0</v>
      </c>
      <c r="E269">
        <f t="shared" si="21"/>
        <v>2039.0390000000004</v>
      </c>
      <c r="F269" s="11">
        <v>0</v>
      </c>
      <c r="G269" s="11">
        <f t="shared" si="22"/>
        <v>1272.76</v>
      </c>
      <c r="H269" s="17">
        <v>0</v>
      </c>
      <c r="I269" s="11">
        <f t="shared" si="20"/>
        <v>748.91240000000005</v>
      </c>
      <c r="J269" s="17">
        <v>0</v>
      </c>
      <c r="K269" s="11">
        <f t="shared" si="23"/>
        <v>591.82399999999973</v>
      </c>
    </row>
    <row r="270" spans="1:11">
      <c r="A270" s="1">
        <v>43820</v>
      </c>
      <c r="D270">
        <v>0</v>
      </c>
      <c r="E270">
        <f t="shared" si="21"/>
        <v>2039.0390000000004</v>
      </c>
      <c r="F270" s="11">
        <v>0</v>
      </c>
      <c r="G270" s="11">
        <f t="shared" si="22"/>
        <v>1272.76</v>
      </c>
      <c r="H270" s="17">
        <v>0</v>
      </c>
      <c r="I270" s="11">
        <f t="shared" si="20"/>
        <v>748.91240000000005</v>
      </c>
      <c r="J270" s="17">
        <v>0</v>
      </c>
      <c r="K270" s="11">
        <f t="shared" si="23"/>
        <v>591.82399999999973</v>
      </c>
    </row>
    <row r="271" spans="1:11">
      <c r="A271" s="1">
        <v>43821</v>
      </c>
      <c r="D271">
        <v>0</v>
      </c>
      <c r="E271">
        <f t="shared" si="21"/>
        <v>2039.0390000000004</v>
      </c>
      <c r="F271" s="11">
        <v>0</v>
      </c>
      <c r="G271" s="11">
        <f t="shared" si="22"/>
        <v>1272.76</v>
      </c>
      <c r="H271" s="17">
        <v>0</v>
      </c>
      <c r="I271" s="11">
        <f t="shared" si="20"/>
        <v>748.91240000000005</v>
      </c>
      <c r="J271" s="17">
        <v>0</v>
      </c>
      <c r="K271" s="11">
        <f t="shared" si="23"/>
        <v>591.82399999999973</v>
      </c>
    </row>
    <row r="272" spans="1:11">
      <c r="A272" s="1">
        <v>43822</v>
      </c>
      <c r="D272">
        <v>0</v>
      </c>
      <c r="E272">
        <f t="shared" si="21"/>
        <v>2039.0390000000004</v>
      </c>
      <c r="F272" s="11">
        <v>0</v>
      </c>
      <c r="G272" s="11">
        <f t="shared" si="22"/>
        <v>1272.76</v>
      </c>
      <c r="H272" s="17">
        <v>0</v>
      </c>
      <c r="I272" s="11">
        <f t="shared" si="20"/>
        <v>748.91240000000005</v>
      </c>
      <c r="J272" s="17">
        <v>0</v>
      </c>
      <c r="K272" s="11">
        <f t="shared" si="23"/>
        <v>591.82399999999973</v>
      </c>
    </row>
    <row r="273" spans="1:11">
      <c r="A273" s="1">
        <v>43823</v>
      </c>
      <c r="D273">
        <v>0</v>
      </c>
      <c r="E273">
        <f t="shared" si="21"/>
        <v>2039.0390000000004</v>
      </c>
      <c r="F273" s="11">
        <v>0</v>
      </c>
      <c r="G273" s="11">
        <f t="shared" si="22"/>
        <v>1272.76</v>
      </c>
      <c r="H273" s="17">
        <v>0</v>
      </c>
      <c r="I273" s="11">
        <f t="shared" si="20"/>
        <v>748.91240000000005</v>
      </c>
      <c r="J273" s="17">
        <v>0</v>
      </c>
      <c r="K273" s="11">
        <f t="shared" si="23"/>
        <v>591.82399999999973</v>
      </c>
    </row>
    <row r="274" spans="1:11">
      <c r="A274" s="1">
        <v>43824</v>
      </c>
      <c r="D274">
        <v>0</v>
      </c>
      <c r="E274">
        <f t="shared" si="21"/>
        <v>2039.0390000000004</v>
      </c>
      <c r="F274" s="11">
        <v>0</v>
      </c>
      <c r="G274" s="11">
        <f t="shared" si="22"/>
        <v>1272.76</v>
      </c>
      <c r="H274" s="17">
        <v>0</v>
      </c>
      <c r="I274" s="11">
        <f t="shared" si="20"/>
        <v>748.91240000000005</v>
      </c>
      <c r="J274" s="17">
        <v>0</v>
      </c>
      <c r="K274" s="11">
        <f t="shared" si="23"/>
        <v>591.82399999999973</v>
      </c>
    </row>
    <row r="275" spans="1:11">
      <c r="A275" s="1">
        <v>43825</v>
      </c>
      <c r="D275">
        <v>0</v>
      </c>
      <c r="E275">
        <f t="shared" si="21"/>
        <v>2039.0390000000004</v>
      </c>
      <c r="F275" s="11">
        <v>0</v>
      </c>
      <c r="G275" s="11">
        <f t="shared" si="22"/>
        <v>1272.76</v>
      </c>
      <c r="H275" s="17">
        <v>0</v>
      </c>
      <c r="I275" s="11">
        <f t="shared" si="20"/>
        <v>748.91240000000005</v>
      </c>
      <c r="J275" s="17">
        <v>0</v>
      </c>
      <c r="K275" s="11">
        <f t="shared" si="23"/>
        <v>591.82399999999973</v>
      </c>
    </row>
    <row r="276" spans="1:11">
      <c r="A276" s="1">
        <v>43826</v>
      </c>
      <c r="D276">
        <v>0</v>
      </c>
      <c r="E276">
        <f t="shared" si="21"/>
        <v>2039.0390000000004</v>
      </c>
      <c r="F276" s="11">
        <v>0</v>
      </c>
      <c r="G276" s="11">
        <f t="shared" si="22"/>
        <v>1272.76</v>
      </c>
      <c r="H276" s="17">
        <v>0</v>
      </c>
      <c r="I276" s="11">
        <f t="shared" si="20"/>
        <v>748.91240000000005</v>
      </c>
      <c r="J276" s="17">
        <v>0</v>
      </c>
      <c r="K276" s="11">
        <f t="shared" si="23"/>
        <v>591.82399999999973</v>
      </c>
    </row>
    <row r="277" spans="1:11">
      <c r="A277" s="1">
        <v>43827</v>
      </c>
      <c r="D277">
        <v>0</v>
      </c>
      <c r="E277">
        <f t="shared" si="21"/>
        <v>2039.0390000000004</v>
      </c>
      <c r="F277" s="11">
        <v>0</v>
      </c>
      <c r="G277" s="11">
        <f t="shared" si="22"/>
        <v>1272.76</v>
      </c>
      <c r="H277" s="17">
        <v>0</v>
      </c>
      <c r="I277" s="11">
        <f t="shared" si="20"/>
        <v>748.91240000000005</v>
      </c>
      <c r="J277" s="17">
        <v>0</v>
      </c>
      <c r="K277" s="11">
        <f t="shared" si="23"/>
        <v>591.82399999999973</v>
      </c>
    </row>
    <row r="278" spans="1:11">
      <c r="A278" s="1">
        <v>43828</v>
      </c>
      <c r="D278">
        <v>0</v>
      </c>
      <c r="E278">
        <f t="shared" si="21"/>
        <v>2039.0390000000004</v>
      </c>
      <c r="F278" s="11">
        <v>0</v>
      </c>
      <c r="G278" s="11">
        <f t="shared" si="22"/>
        <v>1272.76</v>
      </c>
      <c r="H278" s="17">
        <v>0</v>
      </c>
      <c r="I278" s="11">
        <f t="shared" si="20"/>
        <v>748.91240000000005</v>
      </c>
      <c r="J278" s="17">
        <v>0</v>
      </c>
      <c r="K278" s="11">
        <f t="shared" si="23"/>
        <v>591.82399999999973</v>
      </c>
    </row>
    <row r="279" spans="1:11">
      <c r="A279" s="1">
        <v>43829</v>
      </c>
      <c r="D279">
        <v>0</v>
      </c>
      <c r="E279">
        <f t="shared" si="21"/>
        <v>2039.0390000000004</v>
      </c>
      <c r="F279" s="11">
        <v>0</v>
      </c>
      <c r="G279" s="11">
        <f t="shared" si="22"/>
        <v>1272.76</v>
      </c>
      <c r="H279" s="17">
        <v>0</v>
      </c>
      <c r="I279" s="11">
        <f t="shared" si="20"/>
        <v>748.91240000000005</v>
      </c>
      <c r="J279" s="17">
        <v>0</v>
      </c>
      <c r="K279" s="11">
        <f t="shared" si="23"/>
        <v>591.82399999999973</v>
      </c>
    </row>
    <row r="280" spans="1:11">
      <c r="A280" s="1">
        <v>43830</v>
      </c>
      <c r="D280">
        <v>0</v>
      </c>
      <c r="E280">
        <f t="shared" si="21"/>
        <v>2039.0390000000004</v>
      </c>
      <c r="F280" s="11">
        <v>0</v>
      </c>
      <c r="G280" s="11">
        <f t="shared" si="22"/>
        <v>1272.76</v>
      </c>
      <c r="H280" s="17">
        <v>0</v>
      </c>
      <c r="I280" s="11">
        <f t="shared" si="20"/>
        <v>748.91240000000005</v>
      </c>
      <c r="J280" s="17">
        <v>0</v>
      </c>
      <c r="K280" s="11">
        <f t="shared" si="23"/>
        <v>591.82399999999973</v>
      </c>
    </row>
    <row r="281" spans="1:11">
      <c r="A281" s="1">
        <v>43831</v>
      </c>
      <c r="D281" s="11">
        <v>0</v>
      </c>
      <c r="E281">
        <f t="shared" si="21"/>
        <v>2039.0390000000004</v>
      </c>
      <c r="F281" s="11">
        <v>0</v>
      </c>
      <c r="G281" s="11">
        <f t="shared" si="22"/>
        <v>1272.76</v>
      </c>
      <c r="H281" s="17">
        <v>0</v>
      </c>
      <c r="I281" s="11">
        <f t="shared" si="20"/>
        <v>748.91240000000005</v>
      </c>
      <c r="J281" s="17">
        <v>0</v>
      </c>
      <c r="K281" s="11">
        <f t="shared" si="23"/>
        <v>591.82399999999973</v>
      </c>
    </row>
    <row r="282" spans="1:11">
      <c r="A282" s="1">
        <v>43832</v>
      </c>
      <c r="D282" s="11">
        <v>0</v>
      </c>
      <c r="E282">
        <f t="shared" si="21"/>
        <v>2039.0390000000004</v>
      </c>
      <c r="F282" s="11">
        <v>0</v>
      </c>
      <c r="G282" s="11">
        <f t="shared" si="22"/>
        <v>1272.76</v>
      </c>
      <c r="H282" s="17">
        <v>0</v>
      </c>
      <c r="I282" s="11">
        <f t="shared" si="20"/>
        <v>748.91240000000005</v>
      </c>
      <c r="J282" s="17">
        <v>0</v>
      </c>
      <c r="K282" s="11">
        <f t="shared" si="23"/>
        <v>591.82399999999973</v>
      </c>
    </row>
    <row r="283" spans="1:11">
      <c r="A283" s="1">
        <v>43833</v>
      </c>
      <c r="D283" s="11">
        <v>0</v>
      </c>
      <c r="E283">
        <f t="shared" si="21"/>
        <v>2039.0390000000004</v>
      </c>
      <c r="F283" s="11">
        <v>0</v>
      </c>
      <c r="G283" s="11">
        <f t="shared" si="22"/>
        <v>1272.76</v>
      </c>
      <c r="H283" s="17">
        <v>0</v>
      </c>
      <c r="I283" s="11">
        <f t="shared" si="20"/>
        <v>748.91240000000005</v>
      </c>
      <c r="J283" s="17">
        <v>0</v>
      </c>
      <c r="K283" s="11">
        <f t="shared" si="23"/>
        <v>591.82399999999973</v>
      </c>
    </row>
    <row r="284" spans="1:11">
      <c r="A284" s="1">
        <v>43834</v>
      </c>
      <c r="D284" s="11">
        <v>0</v>
      </c>
      <c r="E284">
        <f t="shared" si="21"/>
        <v>2039.0390000000004</v>
      </c>
      <c r="F284" s="11">
        <v>0</v>
      </c>
      <c r="G284" s="11">
        <f t="shared" si="22"/>
        <v>1272.76</v>
      </c>
      <c r="H284" s="17">
        <v>0</v>
      </c>
      <c r="I284" s="11">
        <f t="shared" si="20"/>
        <v>748.91240000000005</v>
      </c>
      <c r="J284" s="17">
        <v>0</v>
      </c>
      <c r="K284" s="11">
        <f t="shared" si="23"/>
        <v>591.82399999999973</v>
      </c>
    </row>
    <row r="285" spans="1:11">
      <c r="A285" s="1">
        <v>43835</v>
      </c>
      <c r="D285" s="11">
        <v>0</v>
      </c>
      <c r="E285">
        <f t="shared" si="21"/>
        <v>2039.0390000000004</v>
      </c>
      <c r="F285" s="11">
        <v>0</v>
      </c>
      <c r="G285" s="11">
        <f t="shared" si="22"/>
        <v>1272.76</v>
      </c>
      <c r="H285" s="17">
        <v>0</v>
      </c>
      <c r="I285" s="11">
        <f t="shared" si="20"/>
        <v>748.91240000000005</v>
      </c>
      <c r="J285" s="17">
        <v>0</v>
      </c>
      <c r="K285" s="11">
        <f t="shared" si="23"/>
        <v>591.82399999999973</v>
      </c>
    </row>
    <row r="286" spans="1:11">
      <c r="A286" s="1">
        <v>43836</v>
      </c>
      <c r="D286" s="11">
        <v>0</v>
      </c>
      <c r="E286">
        <f t="shared" si="21"/>
        <v>2039.0390000000004</v>
      </c>
      <c r="F286" s="11">
        <v>0</v>
      </c>
      <c r="G286" s="11">
        <f t="shared" si="22"/>
        <v>1272.76</v>
      </c>
      <c r="H286" s="17">
        <v>0</v>
      </c>
      <c r="I286" s="11">
        <f t="shared" si="20"/>
        <v>748.91240000000005</v>
      </c>
      <c r="J286" s="17">
        <v>0</v>
      </c>
      <c r="K286" s="11">
        <f t="shared" si="23"/>
        <v>591.82399999999973</v>
      </c>
    </row>
    <row r="287" spans="1:11">
      <c r="A287" s="1">
        <v>43837</v>
      </c>
      <c r="D287" s="11">
        <v>0</v>
      </c>
      <c r="E287">
        <f t="shared" si="21"/>
        <v>2039.0390000000004</v>
      </c>
      <c r="F287" s="11">
        <v>0</v>
      </c>
      <c r="G287" s="11">
        <f t="shared" si="22"/>
        <v>1272.76</v>
      </c>
      <c r="H287" s="17">
        <v>0</v>
      </c>
      <c r="I287" s="11">
        <f t="shared" si="20"/>
        <v>748.91240000000005</v>
      </c>
      <c r="J287" s="17">
        <v>0</v>
      </c>
      <c r="K287" s="11">
        <f t="shared" si="23"/>
        <v>591.82399999999973</v>
      </c>
    </row>
    <row r="288" spans="1:11">
      <c r="A288" s="1">
        <v>43838</v>
      </c>
      <c r="D288" s="11">
        <v>0</v>
      </c>
      <c r="E288">
        <f t="shared" si="21"/>
        <v>2039.0390000000004</v>
      </c>
      <c r="F288" s="11">
        <v>0</v>
      </c>
      <c r="G288" s="11">
        <f t="shared" si="22"/>
        <v>1272.76</v>
      </c>
      <c r="H288" s="17">
        <v>0</v>
      </c>
      <c r="I288" s="11">
        <f t="shared" si="20"/>
        <v>748.91240000000005</v>
      </c>
      <c r="J288" s="17">
        <v>0</v>
      </c>
      <c r="K288" s="11">
        <f t="shared" si="23"/>
        <v>591.82399999999973</v>
      </c>
    </row>
    <row r="289" spans="1:11">
      <c r="A289" s="1">
        <v>43839</v>
      </c>
      <c r="D289" s="11">
        <v>0</v>
      </c>
      <c r="E289">
        <f t="shared" si="21"/>
        <v>2039.0390000000004</v>
      </c>
      <c r="F289" s="11">
        <v>0</v>
      </c>
      <c r="G289" s="11">
        <f t="shared" si="22"/>
        <v>1272.76</v>
      </c>
      <c r="H289" s="17">
        <v>0</v>
      </c>
      <c r="I289" s="11">
        <f t="shared" si="20"/>
        <v>748.91240000000005</v>
      </c>
      <c r="J289" s="17">
        <v>0</v>
      </c>
      <c r="K289" s="11">
        <f t="shared" si="23"/>
        <v>591.82399999999973</v>
      </c>
    </row>
    <row r="290" spans="1:11">
      <c r="A290" s="1">
        <v>43840</v>
      </c>
      <c r="D290" s="11">
        <v>0</v>
      </c>
      <c r="E290">
        <f t="shared" si="21"/>
        <v>2039.0390000000004</v>
      </c>
      <c r="F290" s="11">
        <v>0</v>
      </c>
      <c r="G290" s="11">
        <f t="shared" si="22"/>
        <v>1272.76</v>
      </c>
      <c r="H290" s="17">
        <v>0</v>
      </c>
      <c r="I290" s="11">
        <f t="shared" si="20"/>
        <v>748.91240000000005</v>
      </c>
      <c r="J290" s="17">
        <v>0</v>
      </c>
      <c r="K290" s="11">
        <f t="shared" si="23"/>
        <v>591.82399999999973</v>
      </c>
    </row>
    <row r="291" spans="1:11">
      <c r="A291" s="1">
        <v>43841</v>
      </c>
      <c r="D291" s="11">
        <v>0</v>
      </c>
      <c r="E291">
        <f t="shared" si="21"/>
        <v>2039.0390000000004</v>
      </c>
      <c r="F291" s="11">
        <v>0</v>
      </c>
      <c r="G291" s="11">
        <f t="shared" si="22"/>
        <v>1272.76</v>
      </c>
      <c r="H291" s="17">
        <v>0</v>
      </c>
      <c r="I291" s="11">
        <f t="shared" si="20"/>
        <v>748.91240000000005</v>
      </c>
      <c r="J291" s="17">
        <v>0</v>
      </c>
      <c r="K291" s="11">
        <f t="shared" si="23"/>
        <v>591.82399999999973</v>
      </c>
    </row>
    <row r="292" spans="1:11">
      <c r="A292" s="1">
        <v>43842</v>
      </c>
      <c r="D292" s="11">
        <v>0</v>
      </c>
      <c r="E292">
        <f t="shared" si="21"/>
        <v>2039.0390000000004</v>
      </c>
      <c r="F292" s="11">
        <v>0</v>
      </c>
      <c r="G292" s="11">
        <f t="shared" si="22"/>
        <v>1272.76</v>
      </c>
      <c r="H292" s="17">
        <v>0</v>
      </c>
      <c r="I292" s="11">
        <f t="shared" si="20"/>
        <v>748.91240000000005</v>
      </c>
      <c r="J292" s="17">
        <v>0</v>
      </c>
      <c r="K292" s="11">
        <f t="shared" si="23"/>
        <v>591.82399999999973</v>
      </c>
    </row>
    <row r="293" spans="1:11">
      <c r="A293" s="1">
        <v>43843</v>
      </c>
      <c r="D293" s="11">
        <v>0</v>
      </c>
      <c r="E293">
        <f t="shared" si="21"/>
        <v>2039.0390000000004</v>
      </c>
      <c r="F293" s="11">
        <v>0</v>
      </c>
      <c r="G293" s="11">
        <f t="shared" si="22"/>
        <v>1272.76</v>
      </c>
      <c r="H293" s="17">
        <v>0</v>
      </c>
      <c r="I293" s="11">
        <f t="shared" si="20"/>
        <v>748.91240000000005</v>
      </c>
      <c r="J293" s="17">
        <v>0</v>
      </c>
      <c r="K293" s="11">
        <f t="shared" si="23"/>
        <v>591.82399999999973</v>
      </c>
    </row>
    <row r="294" spans="1:11">
      <c r="A294" s="1">
        <v>43844</v>
      </c>
      <c r="D294" s="11">
        <v>0</v>
      </c>
      <c r="E294">
        <f t="shared" si="21"/>
        <v>2039.0390000000004</v>
      </c>
      <c r="F294" s="11">
        <v>0</v>
      </c>
      <c r="G294" s="11">
        <f t="shared" si="22"/>
        <v>1272.76</v>
      </c>
      <c r="H294" s="17">
        <v>0</v>
      </c>
      <c r="I294" s="11">
        <f t="shared" si="20"/>
        <v>748.91240000000005</v>
      </c>
      <c r="J294" s="17">
        <v>0</v>
      </c>
      <c r="K294" s="11">
        <f t="shared" si="23"/>
        <v>591.82399999999973</v>
      </c>
    </row>
    <row r="295" spans="1:11">
      <c r="A295" s="1">
        <v>43845</v>
      </c>
      <c r="D295" s="11">
        <v>0</v>
      </c>
      <c r="E295">
        <f t="shared" si="21"/>
        <v>2039.0390000000004</v>
      </c>
      <c r="F295" s="11">
        <v>0</v>
      </c>
      <c r="G295" s="11">
        <f t="shared" si="22"/>
        <v>1272.76</v>
      </c>
      <c r="H295" s="17">
        <v>0</v>
      </c>
      <c r="I295" s="11">
        <f t="shared" si="20"/>
        <v>748.91240000000005</v>
      </c>
      <c r="J295" s="17">
        <v>0</v>
      </c>
      <c r="K295" s="11">
        <f t="shared" si="23"/>
        <v>591.82399999999973</v>
      </c>
    </row>
    <row r="296" spans="1:11">
      <c r="A296" s="1">
        <v>43846</v>
      </c>
      <c r="D296" s="11">
        <v>0</v>
      </c>
      <c r="E296">
        <f t="shared" si="21"/>
        <v>2039.0390000000004</v>
      </c>
      <c r="F296" s="11">
        <v>0</v>
      </c>
      <c r="G296" s="11">
        <f t="shared" si="22"/>
        <v>1272.76</v>
      </c>
      <c r="H296" s="17">
        <v>0</v>
      </c>
      <c r="I296" s="11">
        <f t="shared" si="20"/>
        <v>748.91240000000005</v>
      </c>
      <c r="J296" s="17">
        <v>0</v>
      </c>
      <c r="K296" s="11">
        <f t="shared" si="23"/>
        <v>591.82399999999973</v>
      </c>
    </row>
    <row r="297" spans="1:11">
      <c r="A297" s="1">
        <v>43847</v>
      </c>
      <c r="D297" s="11">
        <v>0</v>
      </c>
      <c r="E297">
        <f t="shared" si="21"/>
        <v>2039.0390000000004</v>
      </c>
      <c r="F297" s="11">
        <v>0</v>
      </c>
      <c r="G297" s="11">
        <f t="shared" si="22"/>
        <v>1272.76</v>
      </c>
      <c r="H297" s="17">
        <v>0</v>
      </c>
      <c r="I297" s="11">
        <f t="shared" si="20"/>
        <v>748.91240000000005</v>
      </c>
      <c r="J297" s="17">
        <v>0</v>
      </c>
      <c r="K297" s="11">
        <f t="shared" si="23"/>
        <v>591.82399999999973</v>
      </c>
    </row>
    <row r="298" spans="1:11">
      <c r="A298" s="1">
        <v>43848</v>
      </c>
      <c r="D298" s="11">
        <v>0</v>
      </c>
      <c r="E298">
        <f t="shared" si="21"/>
        <v>2039.0390000000004</v>
      </c>
      <c r="F298" s="11">
        <v>0</v>
      </c>
      <c r="G298" s="11">
        <f t="shared" si="22"/>
        <v>1272.76</v>
      </c>
      <c r="H298" s="17">
        <v>0</v>
      </c>
      <c r="I298" s="11">
        <f t="shared" si="20"/>
        <v>748.91240000000005</v>
      </c>
      <c r="J298" s="17">
        <v>0</v>
      </c>
      <c r="K298" s="11">
        <f t="shared" si="23"/>
        <v>591.82399999999973</v>
      </c>
    </row>
    <row r="299" spans="1:11">
      <c r="A299" s="1">
        <v>43849</v>
      </c>
      <c r="D299" s="11">
        <v>0</v>
      </c>
      <c r="E299">
        <f t="shared" si="21"/>
        <v>2039.0390000000004</v>
      </c>
      <c r="F299" s="11">
        <v>0</v>
      </c>
      <c r="G299" s="11">
        <f t="shared" si="22"/>
        <v>1272.76</v>
      </c>
      <c r="H299" s="17">
        <v>0</v>
      </c>
      <c r="I299" s="11">
        <f t="shared" si="20"/>
        <v>748.91240000000005</v>
      </c>
      <c r="J299" s="17">
        <v>0</v>
      </c>
      <c r="K299" s="11">
        <f t="shared" si="23"/>
        <v>591.82399999999973</v>
      </c>
    </row>
    <row r="300" spans="1:11">
      <c r="A300" s="1">
        <v>43850</v>
      </c>
      <c r="D300" s="11">
        <v>0</v>
      </c>
      <c r="E300">
        <f t="shared" si="21"/>
        <v>2039.0390000000004</v>
      </c>
      <c r="F300" s="11">
        <v>0</v>
      </c>
      <c r="G300" s="11">
        <f t="shared" si="22"/>
        <v>1272.76</v>
      </c>
      <c r="H300" s="17">
        <v>0</v>
      </c>
      <c r="I300" s="11">
        <f t="shared" si="20"/>
        <v>748.91240000000005</v>
      </c>
      <c r="J300" s="17">
        <v>0</v>
      </c>
      <c r="K300" s="11">
        <f t="shared" si="23"/>
        <v>591.82399999999973</v>
      </c>
    </row>
    <row r="301" spans="1:11">
      <c r="A301" s="1">
        <v>43851</v>
      </c>
      <c r="D301" s="11">
        <v>0</v>
      </c>
      <c r="E301">
        <f t="shared" si="21"/>
        <v>2039.0390000000004</v>
      </c>
      <c r="F301" s="11">
        <v>0</v>
      </c>
      <c r="G301" s="11">
        <f t="shared" si="22"/>
        <v>1272.76</v>
      </c>
      <c r="H301" s="17">
        <v>0</v>
      </c>
      <c r="I301" s="11">
        <f t="shared" si="20"/>
        <v>748.91240000000005</v>
      </c>
      <c r="J301" s="17">
        <v>0</v>
      </c>
      <c r="K301" s="11">
        <f t="shared" si="23"/>
        <v>591.82399999999973</v>
      </c>
    </row>
    <row r="302" spans="1:11">
      <c r="A302" s="1">
        <v>43852</v>
      </c>
      <c r="D302" s="11">
        <v>0</v>
      </c>
      <c r="E302">
        <f t="shared" si="21"/>
        <v>2039.0390000000004</v>
      </c>
      <c r="F302" s="11">
        <v>0</v>
      </c>
      <c r="G302" s="11">
        <f t="shared" si="22"/>
        <v>1272.76</v>
      </c>
      <c r="H302" s="17">
        <v>0</v>
      </c>
      <c r="I302" s="11">
        <f t="shared" si="20"/>
        <v>748.91240000000005</v>
      </c>
      <c r="J302" s="17">
        <v>0</v>
      </c>
      <c r="K302" s="11">
        <f t="shared" si="23"/>
        <v>591.82399999999973</v>
      </c>
    </row>
    <row r="303" spans="1:11">
      <c r="A303" s="1">
        <v>43853</v>
      </c>
      <c r="D303" s="11">
        <v>0</v>
      </c>
      <c r="E303">
        <f t="shared" si="21"/>
        <v>2039.0390000000004</v>
      </c>
      <c r="F303" s="11">
        <v>0</v>
      </c>
      <c r="G303" s="11">
        <f t="shared" si="22"/>
        <v>1272.76</v>
      </c>
      <c r="H303" s="17">
        <v>0</v>
      </c>
      <c r="I303" s="11">
        <f t="shared" si="20"/>
        <v>748.91240000000005</v>
      </c>
      <c r="J303" s="17">
        <v>0</v>
      </c>
      <c r="K303" s="11">
        <f t="shared" si="23"/>
        <v>591.82399999999973</v>
      </c>
    </row>
    <row r="304" spans="1:11">
      <c r="A304" s="1">
        <v>43854</v>
      </c>
      <c r="D304" s="11">
        <v>0</v>
      </c>
      <c r="E304">
        <f t="shared" si="21"/>
        <v>2039.0390000000004</v>
      </c>
      <c r="F304" s="11">
        <v>0</v>
      </c>
      <c r="G304" s="11">
        <f t="shared" si="22"/>
        <v>1272.76</v>
      </c>
      <c r="H304" s="17">
        <v>0</v>
      </c>
      <c r="I304" s="11">
        <f t="shared" si="20"/>
        <v>748.91240000000005</v>
      </c>
      <c r="J304" s="17">
        <v>0</v>
      </c>
      <c r="K304" s="11">
        <f t="shared" si="23"/>
        <v>591.82399999999973</v>
      </c>
    </row>
    <row r="305" spans="1:11">
      <c r="A305" s="1">
        <v>43855</v>
      </c>
      <c r="D305" s="11">
        <v>0</v>
      </c>
      <c r="E305">
        <f t="shared" si="21"/>
        <v>2039.0390000000004</v>
      </c>
      <c r="F305" s="11">
        <v>0</v>
      </c>
      <c r="G305" s="11">
        <f t="shared" si="22"/>
        <v>1272.76</v>
      </c>
      <c r="H305" s="17">
        <v>0</v>
      </c>
      <c r="I305" s="11">
        <f t="shared" si="20"/>
        <v>748.91240000000005</v>
      </c>
      <c r="J305" s="17">
        <v>0</v>
      </c>
      <c r="K305" s="11">
        <f t="shared" si="23"/>
        <v>591.82399999999973</v>
      </c>
    </row>
    <row r="306" spans="1:11">
      <c r="A306" s="1">
        <v>43856</v>
      </c>
      <c r="D306" s="11">
        <v>0</v>
      </c>
      <c r="E306">
        <f t="shared" si="21"/>
        <v>2039.0390000000004</v>
      </c>
      <c r="F306" s="11">
        <v>0</v>
      </c>
      <c r="G306" s="11">
        <f t="shared" si="22"/>
        <v>1272.76</v>
      </c>
      <c r="H306" s="17">
        <v>0</v>
      </c>
      <c r="I306" s="11">
        <f t="shared" si="20"/>
        <v>748.91240000000005</v>
      </c>
      <c r="J306" s="17">
        <v>0</v>
      </c>
      <c r="K306" s="11">
        <f t="shared" si="23"/>
        <v>591.82399999999973</v>
      </c>
    </row>
    <row r="307" spans="1:11">
      <c r="A307" s="1">
        <v>43857</v>
      </c>
      <c r="D307" s="11">
        <v>0</v>
      </c>
      <c r="E307">
        <f t="shared" si="21"/>
        <v>2039.0390000000004</v>
      </c>
      <c r="F307" s="11">
        <v>0</v>
      </c>
      <c r="G307" s="11">
        <f t="shared" si="22"/>
        <v>1272.76</v>
      </c>
      <c r="H307" s="17">
        <v>0</v>
      </c>
      <c r="I307" s="11">
        <f t="shared" si="20"/>
        <v>748.91240000000005</v>
      </c>
      <c r="J307" s="17">
        <v>0</v>
      </c>
      <c r="K307" s="11">
        <f t="shared" si="23"/>
        <v>591.82399999999973</v>
      </c>
    </row>
    <row r="308" spans="1:11">
      <c r="A308" s="1">
        <v>43858</v>
      </c>
      <c r="D308" s="11">
        <v>0</v>
      </c>
      <c r="E308">
        <f t="shared" si="21"/>
        <v>2039.0390000000004</v>
      </c>
      <c r="F308" s="11">
        <v>0</v>
      </c>
      <c r="G308" s="11">
        <f t="shared" si="22"/>
        <v>1272.76</v>
      </c>
      <c r="H308" s="17">
        <v>0</v>
      </c>
      <c r="I308" s="11">
        <f t="shared" si="20"/>
        <v>748.91240000000005</v>
      </c>
      <c r="J308" s="17">
        <v>0</v>
      </c>
      <c r="K308" s="11">
        <f t="shared" si="23"/>
        <v>591.82399999999973</v>
      </c>
    </row>
    <row r="309" spans="1:11">
      <c r="A309" s="1">
        <v>43859</v>
      </c>
      <c r="D309" s="11">
        <v>0</v>
      </c>
      <c r="E309">
        <f t="shared" si="21"/>
        <v>2039.0390000000004</v>
      </c>
      <c r="F309" s="11">
        <v>0</v>
      </c>
      <c r="G309" s="11">
        <f t="shared" si="22"/>
        <v>1272.76</v>
      </c>
      <c r="H309" s="17">
        <v>0</v>
      </c>
      <c r="I309" s="11">
        <f t="shared" si="20"/>
        <v>748.91240000000005</v>
      </c>
      <c r="J309" s="17">
        <v>0</v>
      </c>
      <c r="K309" s="11">
        <f t="shared" si="23"/>
        <v>591.82399999999973</v>
      </c>
    </row>
    <row r="310" spans="1:11">
      <c r="A310" s="1">
        <v>43860</v>
      </c>
      <c r="D310" s="11">
        <v>0</v>
      </c>
      <c r="E310">
        <f t="shared" si="21"/>
        <v>2039.0390000000004</v>
      </c>
      <c r="F310" s="11">
        <v>0</v>
      </c>
      <c r="G310" s="11">
        <f t="shared" si="22"/>
        <v>1272.76</v>
      </c>
      <c r="H310" s="17">
        <v>0</v>
      </c>
      <c r="I310" s="11">
        <f t="shared" si="20"/>
        <v>748.91240000000005</v>
      </c>
      <c r="J310" s="17">
        <v>0</v>
      </c>
      <c r="K310" s="11">
        <f t="shared" si="23"/>
        <v>591.82399999999973</v>
      </c>
    </row>
    <row r="311" spans="1:11">
      <c r="A311" s="1">
        <v>43861</v>
      </c>
      <c r="D311" s="11">
        <v>0</v>
      </c>
      <c r="E311">
        <f t="shared" si="21"/>
        <v>2039.0390000000004</v>
      </c>
      <c r="F311" s="11">
        <v>0</v>
      </c>
      <c r="G311" s="11">
        <f t="shared" si="22"/>
        <v>1272.76</v>
      </c>
      <c r="H311" s="17">
        <v>0</v>
      </c>
      <c r="I311" s="11">
        <f t="shared" si="20"/>
        <v>748.91240000000005</v>
      </c>
      <c r="J311" s="17">
        <v>0</v>
      </c>
      <c r="K311" s="11">
        <f t="shared" si="23"/>
        <v>591.82399999999973</v>
      </c>
    </row>
    <row r="312" spans="1:11">
      <c r="A312" s="1">
        <v>43862</v>
      </c>
      <c r="D312" s="11">
        <v>0</v>
      </c>
      <c r="E312">
        <f t="shared" si="21"/>
        <v>2039.0390000000004</v>
      </c>
      <c r="F312" s="11">
        <v>0</v>
      </c>
      <c r="G312" s="11">
        <f t="shared" si="22"/>
        <v>1272.76</v>
      </c>
      <c r="H312" s="17">
        <v>0</v>
      </c>
      <c r="I312" s="11">
        <f t="shared" si="20"/>
        <v>748.91240000000005</v>
      </c>
      <c r="J312" s="17">
        <v>0</v>
      </c>
      <c r="K312" s="11">
        <f t="shared" si="23"/>
        <v>591.82399999999973</v>
      </c>
    </row>
    <row r="313" spans="1:11">
      <c r="A313" s="1">
        <v>43863</v>
      </c>
      <c r="D313" s="11">
        <v>0</v>
      </c>
      <c r="E313">
        <f t="shared" si="21"/>
        <v>2039.0390000000004</v>
      </c>
      <c r="F313" s="11">
        <v>0</v>
      </c>
      <c r="G313" s="11">
        <f t="shared" si="22"/>
        <v>1272.76</v>
      </c>
      <c r="H313" s="17">
        <v>0</v>
      </c>
      <c r="I313" s="11">
        <f t="shared" si="20"/>
        <v>748.91240000000005</v>
      </c>
      <c r="J313" s="17">
        <v>0</v>
      </c>
      <c r="K313" s="11">
        <f t="shared" si="23"/>
        <v>591.82399999999973</v>
      </c>
    </row>
    <row r="314" spans="1:11">
      <c r="A314" s="1">
        <v>43864</v>
      </c>
      <c r="D314" s="11">
        <v>0</v>
      </c>
      <c r="E314">
        <f t="shared" si="21"/>
        <v>2039.0390000000004</v>
      </c>
      <c r="F314" s="11">
        <v>0</v>
      </c>
      <c r="G314" s="11">
        <f t="shared" si="22"/>
        <v>1272.76</v>
      </c>
      <c r="H314" s="17">
        <v>0</v>
      </c>
      <c r="I314" s="11">
        <f t="shared" si="20"/>
        <v>748.91240000000005</v>
      </c>
      <c r="J314" s="17">
        <v>0</v>
      </c>
      <c r="K314" s="11">
        <f t="shared" si="23"/>
        <v>591.82399999999973</v>
      </c>
    </row>
    <row r="315" spans="1:11">
      <c r="A315" s="1">
        <v>43865</v>
      </c>
      <c r="D315" s="11">
        <v>0</v>
      </c>
      <c r="E315">
        <f t="shared" si="21"/>
        <v>2039.0390000000004</v>
      </c>
      <c r="F315" s="11">
        <v>0</v>
      </c>
      <c r="G315" s="11">
        <f t="shared" si="22"/>
        <v>1272.76</v>
      </c>
      <c r="H315" s="17">
        <v>0</v>
      </c>
      <c r="I315" s="11">
        <f t="shared" si="20"/>
        <v>748.91240000000005</v>
      </c>
      <c r="J315" s="17">
        <v>0</v>
      </c>
      <c r="K315" s="11">
        <f t="shared" si="23"/>
        <v>591.82399999999973</v>
      </c>
    </row>
    <row r="316" spans="1:11">
      <c r="A316" s="1">
        <v>43866</v>
      </c>
      <c r="D316" s="11">
        <v>0</v>
      </c>
      <c r="E316">
        <f t="shared" si="21"/>
        <v>2039.0390000000004</v>
      </c>
      <c r="F316" s="11">
        <v>0</v>
      </c>
      <c r="G316" s="11">
        <f t="shared" si="22"/>
        <v>1272.76</v>
      </c>
      <c r="H316" s="17">
        <v>0</v>
      </c>
      <c r="I316" s="11">
        <f t="shared" si="20"/>
        <v>748.91240000000005</v>
      </c>
      <c r="J316" s="17">
        <v>0</v>
      </c>
      <c r="K316" s="11">
        <f t="shared" si="23"/>
        <v>591.82399999999973</v>
      </c>
    </row>
    <row r="317" spans="1:11">
      <c r="A317" s="1">
        <v>43867</v>
      </c>
      <c r="D317" s="11">
        <v>0</v>
      </c>
      <c r="E317">
        <f t="shared" si="21"/>
        <v>2039.0390000000004</v>
      </c>
      <c r="F317" s="11">
        <v>0</v>
      </c>
      <c r="G317" s="11">
        <f t="shared" si="22"/>
        <v>1272.76</v>
      </c>
      <c r="H317" s="17">
        <v>0</v>
      </c>
      <c r="I317" s="11">
        <f t="shared" ref="I317:I371" si="24">H317+I316</f>
        <v>748.91240000000005</v>
      </c>
      <c r="J317" s="17">
        <v>0</v>
      </c>
      <c r="K317" s="11">
        <f t="shared" si="23"/>
        <v>591.82399999999973</v>
      </c>
    </row>
    <row r="318" spans="1:11">
      <c r="A318" s="1">
        <v>43868</v>
      </c>
      <c r="D318" s="11">
        <v>0</v>
      </c>
      <c r="E318">
        <f t="shared" si="21"/>
        <v>2039.0390000000004</v>
      </c>
      <c r="F318" s="11">
        <v>0</v>
      </c>
      <c r="G318" s="11">
        <f t="shared" si="22"/>
        <v>1272.76</v>
      </c>
      <c r="H318" s="17">
        <v>0</v>
      </c>
      <c r="I318" s="11">
        <f t="shared" si="24"/>
        <v>748.91240000000005</v>
      </c>
      <c r="J318" s="17">
        <v>0</v>
      </c>
      <c r="K318" s="11">
        <f t="shared" si="23"/>
        <v>591.82399999999973</v>
      </c>
    </row>
    <row r="319" spans="1:11">
      <c r="A319" s="1">
        <v>43869</v>
      </c>
      <c r="D319" s="11">
        <v>0</v>
      </c>
      <c r="E319">
        <f t="shared" si="21"/>
        <v>2039.0390000000004</v>
      </c>
      <c r="F319" s="11">
        <v>0</v>
      </c>
      <c r="G319" s="11">
        <f t="shared" si="22"/>
        <v>1272.76</v>
      </c>
      <c r="H319" s="17">
        <v>0</v>
      </c>
      <c r="I319" s="11">
        <f t="shared" si="24"/>
        <v>748.91240000000005</v>
      </c>
      <c r="J319" s="17">
        <v>0</v>
      </c>
      <c r="K319" s="11">
        <f t="shared" si="23"/>
        <v>591.82399999999973</v>
      </c>
    </row>
    <row r="320" spans="1:11">
      <c r="A320" s="1">
        <v>43870</v>
      </c>
      <c r="D320" s="11">
        <v>0</v>
      </c>
      <c r="E320">
        <f t="shared" si="21"/>
        <v>2039.0390000000004</v>
      </c>
      <c r="F320" s="11">
        <v>0</v>
      </c>
      <c r="G320" s="11">
        <f t="shared" si="22"/>
        <v>1272.76</v>
      </c>
      <c r="H320" s="17">
        <v>0</v>
      </c>
      <c r="I320" s="11">
        <f t="shared" si="24"/>
        <v>748.91240000000005</v>
      </c>
      <c r="J320" s="17">
        <v>0</v>
      </c>
      <c r="K320" s="11">
        <f t="shared" si="23"/>
        <v>591.82399999999973</v>
      </c>
    </row>
    <row r="321" spans="1:11">
      <c r="A321" s="1">
        <v>43871</v>
      </c>
      <c r="D321" s="11">
        <v>0</v>
      </c>
      <c r="E321">
        <f t="shared" si="21"/>
        <v>2039.0390000000004</v>
      </c>
      <c r="F321" s="11">
        <v>0</v>
      </c>
      <c r="G321" s="11">
        <f t="shared" si="22"/>
        <v>1272.76</v>
      </c>
      <c r="H321" s="17">
        <v>0</v>
      </c>
      <c r="I321" s="11">
        <f t="shared" si="24"/>
        <v>748.91240000000005</v>
      </c>
      <c r="J321" s="17">
        <v>0</v>
      </c>
      <c r="K321" s="11">
        <f t="shared" si="23"/>
        <v>591.82399999999973</v>
      </c>
    </row>
    <row r="322" spans="1:11">
      <c r="A322" s="1">
        <v>43872</v>
      </c>
      <c r="D322" s="11">
        <v>0</v>
      </c>
      <c r="E322">
        <f t="shared" si="21"/>
        <v>2039.0390000000004</v>
      </c>
      <c r="F322" s="11">
        <v>0</v>
      </c>
      <c r="G322" s="11">
        <f t="shared" si="22"/>
        <v>1272.76</v>
      </c>
      <c r="H322" s="17">
        <v>0</v>
      </c>
      <c r="I322" s="11">
        <f t="shared" si="24"/>
        <v>748.91240000000005</v>
      </c>
      <c r="J322" s="17">
        <v>0</v>
      </c>
      <c r="K322" s="11">
        <f t="shared" si="23"/>
        <v>591.82399999999973</v>
      </c>
    </row>
    <row r="323" spans="1:11">
      <c r="A323" s="1">
        <v>43873</v>
      </c>
      <c r="D323" s="11">
        <v>0</v>
      </c>
      <c r="E323">
        <f t="shared" si="21"/>
        <v>2039.0390000000004</v>
      </c>
      <c r="F323" s="11">
        <v>0</v>
      </c>
      <c r="G323" s="11">
        <f t="shared" si="22"/>
        <v>1272.76</v>
      </c>
      <c r="H323" s="17">
        <v>0</v>
      </c>
      <c r="I323" s="11">
        <f t="shared" si="24"/>
        <v>748.91240000000005</v>
      </c>
      <c r="J323" s="17">
        <v>0</v>
      </c>
      <c r="K323" s="11">
        <f t="shared" si="23"/>
        <v>591.82399999999973</v>
      </c>
    </row>
    <row r="324" spans="1:11">
      <c r="A324" s="1">
        <v>43874</v>
      </c>
      <c r="D324" s="11">
        <v>0</v>
      </c>
      <c r="E324">
        <f t="shared" si="21"/>
        <v>2039.0390000000004</v>
      </c>
      <c r="F324" s="11">
        <v>0</v>
      </c>
      <c r="G324" s="11">
        <f t="shared" si="22"/>
        <v>1272.76</v>
      </c>
      <c r="H324" s="17">
        <v>0</v>
      </c>
      <c r="I324" s="11">
        <f t="shared" si="24"/>
        <v>748.91240000000005</v>
      </c>
      <c r="J324" s="17">
        <v>0</v>
      </c>
      <c r="K324" s="11">
        <f t="shared" si="23"/>
        <v>591.82399999999973</v>
      </c>
    </row>
    <row r="325" spans="1:11">
      <c r="A325" s="1">
        <v>43875</v>
      </c>
      <c r="D325" s="11">
        <v>0</v>
      </c>
      <c r="E325">
        <f t="shared" si="21"/>
        <v>2039.0390000000004</v>
      </c>
      <c r="F325" s="11">
        <v>0</v>
      </c>
      <c r="G325" s="11">
        <f t="shared" si="22"/>
        <v>1272.76</v>
      </c>
      <c r="H325" s="17">
        <v>0</v>
      </c>
      <c r="I325" s="11">
        <f t="shared" si="24"/>
        <v>748.91240000000005</v>
      </c>
      <c r="J325" s="17">
        <v>0</v>
      </c>
      <c r="K325" s="11">
        <f t="shared" si="23"/>
        <v>591.82399999999973</v>
      </c>
    </row>
    <row r="326" spans="1:11">
      <c r="A326" s="1">
        <v>43876</v>
      </c>
      <c r="D326" s="11">
        <v>0</v>
      </c>
      <c r="E326">
        <f t="shared" si="21"/>
        <v>2039.0390000000004</v>
      </c>
      <c r="F326" s="11">
        <v>0</v>
      </c>
      <c r="G326" s="11">
        <f t="shared" si="22"/>
        <v>1272.76</v>
      </c>
      <c r="H326" s="17">
        <v>0</v>
      </c>
      <c r="I326" s="11">
        <f t="shared" si="24"/>
        <v>748.91240000000005</v>
      </c>
      <c r="J326" s="17">
        <v>0</v>
      </c>
      <c r="K326" s="11">
        <f t="shared" si="23"/>
        <v>591.82399999999973</v>
      </c>
    </row>
    <row r="327" spans="1:11">
      <c r="A327" s="1">
        <v>43877</v>
      </c>
      <c r="D327" s="11">
        <v>0</v>
      </c>
      <c r="E327">
        <f t="shared" si="21"/>
        <v>2039.0390000000004</v>
      </c>
      <c r="F327" s="11">
        <v>0</v>
      </c>
      <c r="G327" s="11">
        <f t="shared" si="22"/>
        <v>1272.76</v>
      </c>
      <c r="H327" s="17">
        <v>0</v>
      </c>
      <c r="I327" s="11">
        <f t="shared" si="24"/>
        <v>748.91240000000005</v>
      </c>
      <c r="J327" s="17">
        <v>0</v>
      </c>
      <c r="K327" s="11">
        <f t="shared" si="23"/>
        <v>591.82399999999973</v>
      </c>
    </row>
    <row r="328" spans="1:11">
      <c r="A328" s="1">
        <v>43878</v>
      </c>
      <c r="D328" s="11">
        <v>0</v>
      </c>
      <c r="E328">
        <f t="shared" ref="E328:E370" si="25">D328+E327</f>
        <v>2039.0390000000004</v>
      </c>
      <c r="F328" s="11">
        <v>0</v>
      </c>
      <c r="G328" s="11">
        <f t="shared" ref="G328:G371" si="26">F328+G327</f>
        <v>1272.76</v>
      </c>
      <c r="H328" s="17">
        <v>0</v>
      </c>
      <c r="I328" s="11">
        <f t="shared" si="24"/>
        <v>748.91240000000005</v>
      </c>
      <c r="J328" s="17">
        <v>0</v>
      </c>
      <c r="K328" s="11">
        <f t="shared" ref="K328:K371" si="27">J328+K327</f>
        <v>591.82399999999973</v>
      </c>
    </row>
    <row r="329" spans="1:11">
      <c r="A329" s="1">
        <v>43879</v>
      </c>
      <c r="D329" s="11">
        <v>0</v>
      </c>
      <c r="E329">
        <f t="shared" si="25"/>
        <v>2039.0390000000004</v>
      </c>
      <c r="F329" s="11">
        <v>0</v>
      </c>
      <c r="G329" s="11">
        <f t="shared" si="26"/>
        <v>1272.76</v>
      </c>
      <c r="H329" s="17">
        <v>0</v>
      </c>
      <c r="I329" s="11">
        <f t="shared" si="24"/>
        <v>748.91240000000005</v>
      </c>
      <c r="J329" s="17">
        <v>0</v>
      </c>
      <c r="K329" s="11">
        <f t="shared" si="27"/>
        <v>591.82399999999973</v>
      </c>
    </row>
    <row r="330" spans="1:11">
      <c r="A330" s="1">
        <v>43880</v>
      </c>
      <c r="D330" s="11">
        <v>0</v>
      </c>
      <c r="E330">
        <f t="shared" si="25"/>
        <v>2039.0390000000004</v>
      </c>
      <c r="F330" s="11">
        <v>0</v>
      </c>
      <c r="G330" s="11">
        <f t="shared" si="26"/>
        <v>1272.76</v>
      </c>
      <c r="H330" s="17">
        <v>0</v>
      </c>
      <c r="I330" s="11">
        <f t="shared" si="24"/>
        <v>748.91240000000005</v>
      </c>
      <c r="J330" s="17">
        <v>0</v>
      </c>
      <c r="K330" s="11">
        <f t="shared" si="27"/>
        <v>591.82399999999973</v>
      </c>
    </row>
    <row r="331" spans="1:11">
      <c r="A331" s="1">
        <v>43881</v>
      </c>
      <c r="D331">
        <v>0</v>
      </c>
      <c r="E331">
        <f t="shared" si="25"/>
        <v>2039.0390000000004</v>
      </c>
      <c r="F331">
        <f>25.4*0.48</f>
        <v>12.191999999999998</v>
      </c>
      <c r="G331" s="11">
        <f t="shared" si="26"/>
        <v>1284.952</v>
      </c>
      <c r="H331" s="17">
        <v>0</v>
      </c>
      <c r="I331" s="11">
        <f t="shared" si="24"/>
        <v>748.91240000000005</v>
      </c>
      <c r="J331" s="17">
        <v>0</v>
      </c>
      <c r="K331" s="11">
        <f t="shared" si="27"/>
        <v>591.82399999999973</v>
      </c>
    </row>
    <row r="332" spans="1:11">
      <c r="A332" s="1">
        <v>43882</v>
      </c>
      <c r="D332" s="11">
        <v>0</v>
      </c>
      <c r="E332">
        <f t="shared" si="25"/>
        <v>2039.0390000000004</v>
      </c>
      <c r="F332" s="11">
        <v>0</v>
      </c>
      <c r="G332" s="11">
        <f t="shared" si="26"/>
        <v>1284.952</v>
      </c>
      <c r="H332" s="17">
        <v>0</v>
      </c>
      <c r="I332" s="11">
        <f t="shared" si="24"/>
        <v>748.91240000000005</v>
      </c>
      <c r="J332" s="17">
        <v>0</v>
      </c>
      <c r="K332" s="11">
        <f t="shared" si="27"/>
        <v>591.82399999999973</v>
      </c>
    </row>
    <row r="333" spans="1:11">
      <c r="A333" s="1">
        <v>43883</v>
      </c>
      <c r="D333" s="11">
        <v>0</v>
      </c>
      <c r="E333">
        <f t="shared" si="25"/>
        <v>2039.0390000000004</v>
      </c>
      <c r="F333" s="11">
        <v>0</v>
      </c>
      <c r="G333" s="11">
        <f t="shared" si="26"/>
        <v>1284.952</v>
      </c>
      <c r="H333" s="17">
        <v>0</v>
      </c>
      <c r="I333" s="11">
        <f t="shared" si="24"/>
        <v>748.91240000000005</v>
      </c>
      <c r="J333" s="17">
        <v>0</v>
      </c>
      <c r="K333" s="11">
        <f t="shared" si="27"/>
        <v>591.82399999999973</v>
      </c>
    </row>
    <row r="334" spans="1:11">
      <c r="A334" s="1">
        <v>43884</v>
      </c>
      <c r="D334" s="11">
        <v>3</v>
      </c>
      <c r="E334">
        <f t="shared" si="25"/>
        <v>2042.0390000000004</v>
      </c>
      <c r="F334" s="11">
        <v>0</v>
      </c>
      <c r="G334" s="11">
        <f t="shared" si="26"/>
        <v>1284.952</v>
      </c>
      <c r="H334" s="17">
        <v>0</v>
      </c>
      <c r="I334" s="11">
        <f t="shared" si="24"/>
        <v>748.91240000000005</v>
      </c>
      <c r="J334" s="17">
        <v>0</v>
      </c>
      <c r="K334" s="11">
        <f t="shared" si="27"/>
        <v>591.82399999999973</v>
      </c>
    </row>
    <row r="335" spans="1:11">
      <c r="A335" s="1">
        <v>43885</v>
      </c>
      <c r="D335" s="11">
        <v>0</v>
      </c>
      <c r="E335">
        <f t="shared" si="25"/>
        <v>2042.0390000000004</v>
      </c>
      <c r="F335" s="11">
        <v>0</v>
      </c>
      <c r="G335" s="11">
        <f t="shared" si="26"/>
        <v>1284.952</v>
      </c>
      <c r="H335" s="17">
        <v>0</v>
      </c>
      <c r="I335" s="11">
        <f t="shared" si="24"/>
        <v>748.91240000000005</v>
      </c>
      <c r="J335" s="17">
        <v>0</v>
      </c>
      <c r="K335" s="11">
        <f t="shared" si="27"/>
        <v>591.82399999999973</v>
      </c>
    </row>
    <row r="336" spans="1:11">
      <c r="A336" s="1">
        <v>43886</v>
      </c>
      <c r="D336" s="11">
        <v>0</v>
      </c>
      <c r="E336">
        <f t="shared" si="25"/>
        <v>2042.0390000000004</v>
      </c>
      <c r="F336" s="11">
        <v>0</v>
      </c>
      <c r="G336" s="11">
        <f t="shared" si="26"/>
        <v>1284.952</v>
      </c>
      <c r="H336" s="17">
        <v>0</v>
      </c>
      <c r="I336" s="11">
        <f t="shared" si="24"/>
        <v>748.91240000000005</v>
      </c>
      <c r="J336" s="17">
        <v>0</v>
      </c>
      <c r="K336" s="11">
        <f t="shared" si="27"/>
        <v>591.82399999999973</v>
      </c>
    </row>
    <row r="337" spans="1:11">
      <c r="A337" s="1">
        <v>43887</v>
      </c>
      <c r="D337" s="11">
        <v>0</v>
      </c>
      <c r="E337">
        <f t="shared" si="25"/>
        <v>2042.0390000000004</v>
      </c>
      <c r="F337" s="11">
        <v>0</v>
      </c>
      <c r="G337" s="11">
        <f t="shared" si="26"/>
        <v>1284.952</v>
      </c>
      <c r="H337" s="17">
        <v>0</v>
      </c>
      <c r="I337" s="11">
        <f t="shared" si="24"/>
        <v>748.91240000000005</v>
      </c>
      <c r="J337" s="17">
        <v>0</v>
      </c>
      <c r="K337" s="11">
        <f t="shared" si="27"/>
        <v>591.82399999999973</v>
      </c>
    </row>
    <row r="338" spans="1:11">
      <c r="A338" s="1">
        <v>43888</v>
      </c>
      <c r="D338" s="11">
        <v>0</v>
      </c>
      <c r="E338">
        <f t="shared" si="25"/>
        <v>2042.0390000000004</v>
      </c>
      <c r="F338" s="11">
        <v>0</v>
      </c>
      <c r="G338" s="11">
        <f t="shared" si="26"/>
        <v>1284.952</v>
      </c>
      <c r="H338" s="17">
        <f>0.85*25.4</f>
        <v>21.59</v>
      </c>
      <c r="I338" s="11">
        <f t="shared" si="24"/>
        <v>770.50240000000008</v>
      </c>
      <c r="J338" s="17">
        <v>0</v>
      </c>
      <c r="K338" s="11">
        <f t="shared" si="27"/>
        <v>591.82399999999973</v>
      </c>
    </row>
    <row r="339" spans="1:11">
      <c r="A339" s="1">
        <v>43889</v>
      </c>
      <c r="D339" s="11">
        <v>0</v>
      </c>
      <c r="E339">
        <f t="shared" si="25"/>
        <v>2042.0390000000004</v>
      </c>
      <c r="F339" s="11">
        <v>0</v>
      </c>
      <c r="G339" s="11">
        <f t="shared" si="26"/>
        <v>1284.952</v>
      </c>
      <c r="H339" s="17">
        <v>0</v>
      </c>
      <c r="I339" s="11">
        <f t="shared" si="24"/>
        <v>770.50240000000008</v>
      </c>
      <c r="J339" s="17">
        <v>0</v>
      </c>
      <c r="K339" s="11">
        <f t="shared" si="27"/>
        <v>591.82399999999973</v>
      </c>
    </row>
    <row r="340" spans="1:11">
      <c r="A340" s="1">
        <v>43890</v>
      </c>
      <c r="D340" s="12">
        <v>0</v>
      </c>
      <c r="E340" s="12"/>
      <c r="F340" s="11">
        <v>0</v>
      </c>
      <c r="G340" s="15"/>
      <c r="H340" s="17">
        <v>0</v>
      </c>
      <c r="I340" s="11">
        <f t="shared" si="24"/>
        <v>770.50240000000008</v>
      </c>
      <c r="J340" s="19"/>
      <c r="K340" s="12"/>
    </row>
    <row r="341" spans="1:11">
      <c r="A341" s="1">
        <v>43891</v>
      </c>
      <c r="D341" s="11">
        <v>0</v>
      </c>
      <c r="E341" s="11">
        <f>D341+E339</f>
        <v>2042.0390000000004</v>
      </c>
      <c r="F341" s="11">
        <v>0</v>
      </c>
      <c r="G341" s="11">
        <f>G339+F341</f>
        <v>1284.952</v>
      </c>
      <c r="H341" s="17">
        <v>0</v>
      </c>
      <c r="I341" s="11">
        <f t="shared" si="24"/>
        <v>770.50240000000008</v>
      </c>
      <c r="J341" s="17">
        <v>0</v>
      </c>
      <c r="K341" s="11">
        <f>J341+K339</f>
        <v>591.82399999999973</v>
      </c>
    </row>
    <row r="342" spans="1:11">
      <c r="A342" s="1">
        <v>43892</v>
      </c>
      <c r="D342" s="11">
        <v>0</v>
      </c>
      <c r="E342">
        <f t="shared" si="25"/>
        <v>2042.0390000000004</v>
      </c>
      <c r="F342" s="11">
        <v>0</v>
      </c>
      <c r="G342" s="11">
        <f t="shared" si="26"/>
        <v>1284.952</v>
      </c>
      <c r="H342" s="17">
        <v>0</v>
      </c>
      <c r="I342" s="11">
        <f t="shared" si="24"/>
        <v>770.50240000000008</v>
      </c>
      <c r="J342" s="17">
        <v>0</v>
      </c>
      <c r="K342" s="11">
        <f t="shared" si="27"/>
        <v>591.82399999999973</v>
      </c>
    </row>
    <row r="343" spans="1:11">
      <c r="A343" s="1">
        <v>43893</v>
      </c>
      <c r="D343" s="11">
        <v>0</v>
      </c>
      <c r="E343">
        <f t="shared" si="25"/>
        <v>2042.0390000000004</v>
      </c>
      <c r="F343" s="11">
        <v>0</v>
      </c>
      <c r="G343" s="11">
        <f t="shared" si="26"/>
        <v>1284.952</v>
      </c>
      <c r="H343" s="17">
        <v>0</v>
      </c>
      <c r="I343" s="11">
        <f t="shared" si="24"/>
        <v>770.50240000000008</v>
      </c>
      <c r="J343" s="17">
        <v>0</v>
      </c>
      <c r="K343" s="11">
        <f t="shared" si="27"/>
        <v>591.82399999999973</v>
      </c>
    </row>
    <row r="344" spans="1:11">
      <c r="A344" s="1">
        <v>43894</v>
      </c>
      <c r="D344" s="11">
        <v>0</v>
      </c>
      <c r="E344">
        <f t="shared" si="25"/>
        <v>2042.0390000000004</v>
      </c>
      <c r="F344" s="11">
        <v>0</v>
      </c>
      <c r="G344" s="11">
        <f t="shared" si="26"/>
        <v>1284.952</v>
      </c>
      <c r="H344" s="17">
        <f>0.05*25.4</f>
        <v>1.27</v>
      </c>
      <c r="I344" s="11">
        <f t="shared" si="24"/>
        <v>771.77240000000006</v>
      </c>
      <c r="J344" s="17">
        <v>0</v>
      </c>
      <c r="K344" s="11">
        <f t="shared" si="27"/>
        <v>591.82399999999973</v>
      </c>
    </row>
    <row r="345" spans="1:11">
      <c r="A345" s="1">
        <v>43895</v>
      </c>
      <c r="D345" s="11">
        <v>0</v>
      </c>
      <c r="E345">
        <f t="shared" si="25"/>
        <v>2042.0390000000004</v>
      </c>
      <c r="F345" s="11">
        <v>0</v>
      </c>
      <c r="G345" s="11">
        <f t="shared" si="26"/>
        <v>1284.952</v>
      </c>
      <c r="H345" s="17">
        <v>0</v>
      </c>
      <c r="I345" s="11">
        <f t="shared" si="24"/>
        <v>771.77240000000006</v>
      </c>
      <c r="J345" s="17">
        <v>0</v>
      </c>
      <c r="K345" s="11">
        <f t="shared" si="27"/>
        <v>591.82399999999973</v>
      </c>
    </row>
    <row r="346" spans="1:11">
      <c r="A346" s="1">
        <v>43896</v>
      </c>
      <c r="D346" s="11">
        <v>0</v>
      </c>
      <c r="E346">
        <f t="shared" si="25"/>
        <v>2042.0390000000004</v>
      </c>
      <c r="F346" s="11">
        <v>0</v>
      </c>
      <c r="G346" s="11">
        <f t="shared" si="26"/>
        <v>1284.952</v>
      </c>
      <c r="H346" s="17">
        <v>0</v>
      </c>
      <c r="I346" s="11">
        <f t="shared" si="24"/>
        <v>771.77240000000006</v>
      </c>
      <c r="J346" s="17">
        <v>0</v>
      </c>
      <c r="K346" s="11">
        <f t="shared" si="27"/>
        <v>591.82399999999973</v>
      </c>
    </row>
    <row r="347" spans="1:11">
      <c r="A347" s="1">
        <v>43897</v>
      </c>
      <c r="D347" s="11">
        <v>2</v>
      </c>
      <c r="E347">
        <f t="shared" si="25"/>
        <v>2044.0390000000004</v>
      </c>
      <c r="F347" s="11">
        <v>0</v>
      </c>
      <c r="G347" s="11">
        <f t="shared" si="26"/>
        <v>1284.952</v>
      </c>
      <c r="H347" s="17">
        <v>0</v>
      </c>
      <c r="I347" s="11">
        <f t="shared" si="24"/>
        <v>771.77240000000006</v>
      </c>
      <c r="J347" s="17">
        <v>0</v>
      </c>
      <c r="K347" s="11">
        <f t="shared" si="27"/>
        <v>591.82399999999973</v>
      </c>
    </row>
    <row r="348" spans="1:11">
      <c r="A348" s="1">
        <v>43898</v>
      </c>
      <c r="D348" s="11">
        <v>0</v>
      </c>
      <c r="E348">
        <f t="shared" si="25"/>
        <v>2044.0390000000004</v>
      </c>
      <c r="F348" s="11">
        <v>0</v>
      </c>
      <c r="G348" s="11">
        <f t="shared" si="26"/>
        <v>1284.952</v>
      </c>
      <c r="H348" s="17">
        <v>0</v>
      </c>
      <c r="I348" s="11">
        <f t="shared" si="24"/>
        <v>771.77240000000006</v>
      </c>
      <c r="J348" s="17">
        <v>0</v>
      </c>
      <c r="K348" s="11">
        <f t="shared" si="27"/>
        <v>591.82399999999973</v>
      </c>
    </row>
    <row r="349" spans="1:11">
      <c r="A349" s="1">
        <v>43899</v>
      </c>
      <c r="D349" s="11">
        <v>0</v>
      </c>
      <c r="E349">
        <f t="shared" si="25"/>
        <v>2044.0390000000004</v>
      </c>
      <c r="F349" s="11">
        <v>0</v>
      </c>
      <c r="G349" s="11">
        <f t="shared" si="26"/>
        <v>1284.952</v>
      </c>
      <c r="H349" s="17">
        <v>0</v>
      </c>
      <c r="I349" s="11">
        <f t="shared" si="24"/>
        <v>771.77240000000006</v>
      </c>
      <c r="J349" s="17">
        <v>0</v>
      </c>
      <c r="K349" s="11">
        <f t="shared" si="27"/>
        <v>591.82399999999973</v>
      </c>
    </row>
    <row r="350" spans="1:11">
      <c r="A350" s="1">
        <v>43900</v>
      </c>
      <c r="D350" s="11">
        <v>0</v>
      </c>
      <c r="E350">
        <f t="shared" si="25"/>
        <v>2044.0390000000004</v>
      </c>
      <c r="F350" s="11">
        <v>0</v>
      </c>
      <c r="G350" s="11">
        <f t="shared" si="26"/>
        <v>1284.952</v>
      </c>
      <c r="H350" s="17">
        <v>0</v>
      </c>
      <c r="I350" s="11">
        <f t="shared" si="24"/>
        <v>771.77240000000006</v>
      </c>
      <c r="J350" s="17">
        <v>0</v>
      </c>
      <c r="K350" s="11">
        <f t="shared" si="27"/>
        <v>591.82399999999973</v>
      </c>
    </row>
    <row r="351" spans="1:11">
      <c r="A351" s="1">
        <v>43901</v>
      </c>
      <c r="D351" s="11">
        <v>0</v>
      </c>
      <c r="E351">
        <f t="shared" si="25"/>
        <v>2044.0390000000004</v>
      </c>
      <c r="F351" s="11">
        <v>0</v>
      </c>
      <c r="G351" s="11">
        <f t="shared" si="26"/>
        <v>1284.952</v>
      </c>
      <c r="H351" s="17">
        <v>0</v>
      </c>
      <c r="I351" s="11">
        <f t="shared" si="24"/>
        <v>771.77240000000006</v>
      </c>
      <c r="J351" s="17">
        <v>0</v>
      </c>
      <c r="K351" s="11">
        <f t="shared" si="27"/>
        <v>591.82399999999973</v>
      </c>
    </row>
    <row r="352" spans="1:11">
      <c r="A352" s="1">
        <v>43902</v>
      </c>
      <c r="D352" s="11">
        <v>0</v>
      </c>
      <c r="E352">
        <f t="shared" si="25"/>
        <v>2044.0390000000004</v>
      </c>
      <c r="F352" s="11">
        <v>0</v>
      </c>
      <c r="G352" s="11">
        <f t="shared" si="26"/>
        <v>1284.952</v>
      </c>
      <c r="H352" s="17">
        <v>0</v>
      </c>
      <c r="I352" s="11">
        <f t="shared" si="24"/>
        <v>771.77240000000006</v>
      </c>
      <c r="J352" s="17">
        <v>0</v>
      </c>
      <c r="K352" s="11">
        <f t="shared" si="27"/>
        <v>591.82399999999973</v>
      </c>
    </row>
    <row r="353" spans="1:11">
      <c r="A353" s="1">
        <v>43903</v>
      </c>
      <c r="D353" s="11">
        <v>0</v>
      </c>
      <c r="E353">
        <f t="shared" si="25"/>
        <v>2044.0390000000004</v>
      </c>
      <c r="F353" s="11">
        <v>0</v>
      </c>
      <c r="G353" s="11">
        <f t="shared" si="26"/>
        <v>1284.952</v>
      </c>
      <c r="H353" s="17">
        <v>0</v>
      </c>
      <c r="I353" s="11">
        <f t="shared" si="24"/>
        <v>771.77240000000006</v>
      </c>
      <c r="J353" s="17">
        <v>0</v>
      </c>
      <c r="K353" s="11">
        <f t="shared" si="27"/>
        <v>591.82399999999973</v>
      </c>
    </row>
    <row r="354" spans="1:11">
      <c r="A354" s="1">
        <v>43904</v>
      </c>
      <c r="D354" s="11">
        <v>0</v>
      </c>
      <c r="E354">
        <f t="shared" si="25"/>
        <v>2044.0390000000004</v>
      </c>
      <c r="F354" s="11">
        <v>0</v>
      </c>
      <c r="G354" s="11">
        <f t="shared" si="26"/>
        <v>1284.952</v>
      </c>
      <c r="H354" s="17">
        <v>0</v>
      </c>
      <c r="I354" s="11">
        <f t="shared" si="24"/>
        <v>771.77240000000006</v>
      </c>
      <c r="J354" s="17">
        <v>0</v>
      </c>
      <c r="K354" s="11">
        <f t="shared" si="27"/>
        <v>591.82399999999973</v>
      </c>
    </row>
    <row r="355" spans="1:11">
      <c r="A355" s="1">
        <v>43905</v>
      </c>
      <c r="D355" s="11">
        <v>3.8</v>
      </c>
      <c r="E355">
        <f t="shared" si="25"/>
        <v>2047.8390000000004</v>
      </c>
      <c r="F355" s="11">
        <v>0</v>
      </c>
      <c r="G355" s="11">
        <f t="shared" si="26"/>
        <v>1284.952</v>
      </c>
      <c r="H355" s="17">
        <v>0</v>
      </c>
      <c r="I355" s="11">
        <f t="shared" si="24"/>
        <v>771.77240000000006</v>
      </c>
      <c r="J355" s="17">
        <v>0</v>
      </c>
      <c r="K355" s="11">
        <f t="shared" si="27"/>
        <v>591.82399999999973</v>
      </c>
    </row>
    <row r="356" spans="1:11">
      <c r="A356" s="1">
        <v>43906</v>
      </c>
      <c r="D356" s="11">
        <v>0</v>
      </c>
      <c r="E356">
        <f t="shared" si="25"/>
        <v>2047.8390000000004</v>
      </c>
      <c r="F356" s="11">
        <v>0</v>
      </c>
      <c r="G356" s="11">
        <f t="shared" si="26"/>
        <v>1284.952</v>
      </c>
      <c r="H356">
        <f>25.4*0.6</f>
        <v>15.239999999999998</v>
      </c>
      <c r="I356" s="11">
        <f t="shared" si="24"/>
        <v>787.01240000000007</v>
      </c>
      <c r="J356" s="17">
        <v>0</v>
      </c>
      <c r="K356" s="11">
        <f t="shared" si="27"/>
        <v>591.82399999999973</v>
      </c>
    </row>
    <row r="357" spans="1:11">
      <c r="A357" s="1">
        <v>43907</v>
      </c>
      <c r="D357" s="11">
        <v>0</v>
      </c>
      <c r="E357">
        <f t="shared" si="25"/>
        <v>2047.8390000000004</v>
      </c>
      <c r="F357" s="11">
        <v>0</v>
      </c>
      <c r="G357" s="11">
        <f t="shared" si="26"/>
        <v>1284.952</v>
      </c>
      <c r="H357">
        <f>25.4*0.43</f>
        <v>10.921999999999999</v>
      </c>
      <c r="I357" s="11">
        <f t="shared" si="24"/>
        <v>797.9344000000001</v>
      </c>
      <c r="J357">
        <f>0.06*25.4</f>
        <v>1.5239999999999998</v>
      </c>
      <c r="K357" s="11">
        <f t="shared" si="27"/>
        <v>593.34799999999973</v>
      </c>
    </row>
    <row r="358" spans="1:11">
      <c r="A358" s="1">
        <v>43908</v>
      </c>
      <c r="D358" s="11">
        <v>0</v>
      </c>
      <c r="E358">
        <f t="shared" si="25"/>
        <v>2047.8390000000004</v>
      </c>
      <c r="F358" s="11">
        <v>0</v>
      </c>
      <c r="G358" s="11">
        <f t="shared" si="26"/>
        <v>1284.952</v>
      </c>
      <c r="H358" s="17">
        <v>0</v>
      </c>
      <c r="I358" s="11">
        <f t="shared" si="24"/>
        <v>797.9344000000001</v>
      </c>
      <c r="J358">
        <f>0.25*25.4</f>
        <v>6.35</v>
      </c>
      <c r="K358" s="11">
        <f t="shared" si="27"/>
        <v>599.69799999999975</v>
      </c>
    </row>
    <row r="359" spans="1:11">
      <c r="A359" s="1">
        <v>43909</v>
      </c>
      <c r="D359" s="11">
        <v>1</v>
      </c>
      <c r="E359">
        <f t="shared" si="25"/>
        <v>2048.8390000000004</v>
      </c>
      <c r="F359" s="11">
        <f>0.43*25.4</f>
        <v>10.921999999999999</v>
      </c>
      <c r="G359" s="11">
        <f t="shared" si="26"/>
        <v>1295.874</v>
      </c>
      <c r="H359">
        <f>25.4*0.29</f>
        <v>7.3659999999999988</v>
      </c>
      <c r="I359" s="11">
        <f t="shared" si="24"/>
        <v>805.30040000000008</v>
      </c>
      <c r="J359">
        <f>0.15*25.4</f>
        <v>3.8099999999999996</v>
      </c>
      <c r="K359" s="11">
        <f t="shared" si="27"/>
        <v>603.5079999999997</v>
      </c>
    </row>
    <row r="360" spans="1:11">
      <c r="A360" s="1">
        <v>43910</v>
      </c>
      <c r="D360" s="11">
        <v>3</v>
      </c>
      <c r="E360">
        <f t="shared" si="25"/>
        <v>2051.8390000000004</v>
      </c>
      <c r="F360" s="11">
        <f>1.51*25.4</f>
        <v>38.353999999999999</v>
      </c>
      <c r="G360" s="11">
        <f t="shared" si="26"/>
        <v>1334.2280000000001</v>
      </c>
      <c r="H360" s="11">
        <v>0</v>
      </c>
      <c r="I360" s="11">
        <f t="shared" si="24"/>
        <v>805.30040000000008</v>
      </c>
      <c r="J360">
        <f>0.08*25.4</f>
        <v>2.032</v>
      </c>
      <c r="K360" s="11">
        <f t="shared" si="27"/>
        <v>605.53999999999974</v>
      </c>
    </row>
    <row r="361" spans="1:11">
      <c r="A361" s="1">
        <v>43911</v>
      </c>
      <c r="D361" s="11">
        <v>0</v>
      </c>
      <c r="E361">
        <f t="shared" si="25"/>
        <v>2051.8390000000004</v>
      </c>
      <c r="F361" s="11">
        <v>0</v>
      </c>
      <c r="G361" s="11">
        <f t="shared" si="26"/>
        <v>1334.2280000000001</v>
      </c>
      <c r="H361" s="11">
        <v>0</v>
      </c>
      <c r="I361" s="11">
        <f t="shared" si="24"/>
        <v>805.30040000000008</v>
      </c>
      <c r="J361" s="17">
        <v>0</v>
      </c>
      <c r="K361" s="11">
        <f t="shared" si="27"/>
        <v>605.53999999999974</v>
      </c>
    </row>
    <row r="362" spans="1:11">
      <c r="A362" s="1">
        <v>43912</v>
      </c>
      <c r="D362" s="11">
        <v>0</v>
      </c>
      <c r="E362">
        <f t="shared" si="25"/>
        <v>2051.8390000000004</v>
      </c>
      <c r="F362" s="11">
        <v>0</v>
      </c>
      <c r="G362" s="11">
        <f t="shared" si="26"/>
        <v>1334.2280000000001</v>
      </c>
      <c r="H362" s="11">
        <v>0</v>
      </c>
      <c r="I362" s="11">
        <f t="shared" si="24"/>
        <v>805.30040000000008</v>
      </c>
      <c r="J362">
        <f>0.05*25.4</f>
        <v>1.27</v>
      </c>
      <c r="K362" s="11">
        <f t="shared" si="27"/>
        <v>606.80999999999972</v>
      </c>
    </row>
    <row r="363" spans="1:11">
      <c r="A363" s="1">
        <v>43913</v>
      </c>
      <c r="D363" s="11">
        <v>0</v>
      </c>
      <c r="E363">
        <f t="shared" si="25"/>
        <v>2051.8390000000004</v>
      </c>
      <c r="F363" s="11">
        <v>0</v>
      </c>
      <c r="G363" s="11">
        <f t="shared" si="26"/>
        <v>1334.2280000000001</v>
      </c>
      <c r="H363" s="11">
        <v>0</v>
      </c>
      <c r="I363" s="11">
        <f t="shared" si="24"/>
        <v>805.30040000000008</v>
      </c>
      <c r="J363" s="17">
        <v>0</v>
      </c>
      <c r="K363" s="11">
        <f t="shared" si="27"/>
        <v>606.80999999999972</v>
      </c>
    </row>
    <row r="364" spans="1:11">
      <c r="A364" s="1">
        <v>43914</v>
      </c>
      <c r="D364" s="11">
        <v>0</v>
      </c>
      <c r="E364">
        <f t="shared" si="25"/>
        <v>2051.8390000000004</v>
      </c>
      <c r="F364" s="11">
        <v>0</v>
      </c>
      <c r="G364" s="11">
        <f t="shared" si="26"/>
        <v>1334.2280000000001</v>
      </c>
      <c r="H364" s="11">
        <v>0</v>
      </c>
      <c r="I364" s="11">
        <f t="shared" si="24"/>
        <v>805.30040000000008</v>
      </c>
      <c r="J364" s="17">
        <v>0</v>
      </c>
      <c r="K364" s="11">
        <f t="shared" si="27"/>
        <v>606.80999999999972</v>
      </c>
    </row>
    <row r="365" spans="1:11">
      <c r="A365" s="1">
        <v>43915</v>
      </c>
      <c r="D365" s="11">
        <v>0</v>
      </c>
      <c r="E365">
        <f t="shared" si="25"/>
        <v>2051.8390000000004</v>
      </c>
      <c r="F365" s="11">
        <v>0</v>
      </c>
      <c r="G365" s="11">
        <f t="shared" si="26"/>
        <v>1334.2280000000001</v>
      </c>
      <c r="H365" s="11">
        <v>0</v>
      </c>
      <c r="I365" s="11">
        <f t="shared" si="24"/>
        <v>805.30040000000008</v>
      </c>
      <c r="J365" s="17">
        <v>0</v>
      </c>
      <c r="K365" s="11">
        <f t="shared" si="27"/>
        <v>606.80999999999972</v>
      </c>
    </row>
    <row r="366" spans="1:11">
      <c r="A366" s="1">
        <v>43916</v>
      </c>
      <c r="D366" s="11">
        <v>4</v>
      </c>
      <c r="E366">
        <f t="shared" si="25"/>
        <v>2055.8390000000004</v>
      </c>
      <c r="F366" s="11">
        <v>0</v>
      </c>
      <c r="G366" s="11">
        <f t="shared" si="26"/>
        <v>1334.2280000000001</v>
      </c>
      <c r="H366" s="11">
        <v>0</v>
      </c>
      <c r="I366" s="11">
        <f t="shared" si="24"/>
        <v>805.30040000000008</v>
      </c>
      <c r="J366">
        <f>25.4*0.12</f>
        <v>3.0479999999999996</v>
      </c>
      <c r="K366" s="11">
        <f t="shared" si="27"/>
        <v>609.85799999999972</v>
      </c>
    </row>
    <row r="367" spans="1:11">
      <c r="A367" s="1">
        <v>43917</v>
      </c>
      <c r="D367" s="11">
        <v>7.02</v>
      </c>
      <c r="E367">
        <f t="shared" si="25"/>
        <v>2062.8590000000004</v>
      </c>
      <c r="F367" s="11">
        <v>0</v>
      </c>
      <c r="G367" s="11">
        <f t="shared" si="26"/>
        <v>1334.2280000000001</v>
      </c>
      <c r="H367" s="11">
        <v>0</v>
      </c>
      <c r="I367" s="11">
        <f t="shared" si="24"/>
        <v>805.30040000000008</v>
      </c>
      <c r="J367" s="17">
        <v>0</v>
      </c>
      <c r="K367" s="11">
        <f t="shared" si="27"/>
        <v>609.85799999999972</v>
      </c>
    </row>
    <row r="368" spans="1:11">
      <c r="A368" s="1">
        <v>43918</v>
      </c>
      <c r="D368" s="11">
        <v>0</v>
      </c>
      <c r="E368">
        <f t="shared" si="25"/>
        <v>2062.8590000000004</v>
      </c>
      <c r="F368" s="11">
        <v>0</v>
      </c>
      <c r="G368" s="11">
        <f t="shared" si="26"/>
        <v>1334.2280000000001</v>
      </c>
      <c r="H368" s="11">
        <v>0</v>
      </c>
      <c r="I368" s="11">
        <f t="shared" si="24"/>
        <v>805.30040000000008</v>
      </c>
      <c r="J368" s="17">
        <v>0</v>
      </c>
      <c r="K368" s="11">
        <f t="shared" si="27"/>
        <v>609.85799999999972</v>
      </c>
    </row>
    <row r="369" spans="1:11">
      <c r="A369" s="1">
        <v>43919</v>
      </c>
      <c r="D369" s="11">
        <v>17.399999999999999</v>
      </c>
      <c r="E369">
        <f t="shared" si="25"/>
        <v>2080.2590000000005</v>
      </c>
      <c r="F369" s="11">
        <v>0</v>
      </c>
      <c r="G369" s="11">
        <f t="shared" si="26"/>
        <v>1334.2280000000001</v>
      </c>
      <c r="H369" s="11">
        <v>0</v>
      </c>
      <c r="I369" s="11">
        <f t="shared" si="24"/>
        <v>805.30040000000008</v>
      </c>
      <c r="J369" s="17">
        <v>0</v>
      </c>
      <c r="K369" s="11">
        <f t="shared" si="27"/>
        <v>609.85799999999972</v>
      </c>
    </row>
    <row r="370" spans="1:11">
      <c r="A370" s="1">
        <v>43920</v>
      </c>
      <c r="D370" s="11">
        <v>0</v>
      </c>
      <c r="E370">
        <f t="shared" si="25"/>
        <v>2080.2590000000005</v>
      </c>
      <c r="F370" s="11">
        <v>0</v>
      </c>
      <c r="G370" s="11">
        <f t="shared" si="26"/>
        <v>1334.2280000000001</v>
      </c>
      <c r="H370" s="11">
        <v>0</v>
      </c>
      <c r="I370" s="11">
        <f t="shared" si="24"/>
        <v>805.30040000000008</v>
      </c>
      <c r="J370">
        <f>25.4*0.09</f>
        <v>2.2859999999999996</v>
      </c>
      <c r="K370" s="11">
        <f t="shared" si="27"/>
        <v>612.14399999999966</v>
      </c>
    </row>
    <row r="371" spans="1:11">
      <c r="A371" s="1">
        <v>43921</v>
      </c>
      <c r="D371" s="11">
        <v>0</v>
      </c>
      <c r="E371" s="13">
        <f>D371+E370</f>
        <v>2080.2590000000005</v>
      </c>
      <c r="F371" s="11">
        <v>0</v>
      </c>
      <c r="G371" s="13">
        <f t="shared" si="26"/>
        <v>1334.2280000000001</v>
      </c>
      <c r="H371" s="11">
        <v>0</v>
      </c>
      <c r="I371" s="13">
        <f t="shared" si="24"/>
        <v>805.30040000000008</v>
      </c>
      <c r="J371">
        <f>25.4*0.14</f>
        <v>3.556</v>
      </c>
      <c r="K371" s="13">
        <f t="shared" si="27"/>
        <v>615.6999999999997</v>
      </c>
    </row>
    <row r="372" spans="1:11">
      <c r="F372" s="11"/>
      <c r="J372" s="1"/>
      <c r="K372" s="1"/>
    </row>
    <row r="373" spans="1:11">
      <c r="F373" s="11"/>
    </row>
    <row r="374" spans="1:11">
      <c r="F374" s="11"/>
    </row>
    <row r="375" spans="1:11">
      <c r="F375" s="11"/>
    </row>
    <row r="376" spans="1:11">
      <c r="F376" s="11"/>
    </row>
    <row r="377" spans="1:11">
      <c r="F377" s="11"/>
    </row>
    <row r="378" spans="1:11">
      <c r="F378" s="11"/>
    </row>
    <row r="379" spans="1:11">
      <c r="F379" s="11"/>
    </row>
    <row r="380" spans="1:11">
      <c r="A380" t="s">
        <v>9</v>
      </c>
      <c r="F380" s="11"/>
    </row>
    <row r="381" spans="1:11">
      <c r="A381" t="s">
        <v>10</v>
      </c>
    </row>
    <row r="382" spans="1:11">
      <c r="F382" s="11"/>
    </row>
    <row r="383" spans="1:11">
      <c r="F383" s="11"/>
    </row>
    <row r="384" spans="1:11">
      <c r="F384" s="11"/>
    </row>
    <row r="385" spans="6:6">
      <c r="F385" s="11"/>
    </row>
    <row r="386" spans="6:6">
      <c r="F386" s="11"/>
    </row>
    <row r="387" spans="6:6">
      <c r="F387" s="11"/>
    </row>
    <row r="388" spans="6:6">
      <c r="F388" s="11"/>
    </row>
    <row r="389" spans="6:6">
      <c r="F389" s="11"/>
    </row>
    <row r="390" spans="6:6">
      <c r="F390" s="11"/>
    </row>
    <row r="391" spans="6:6">
      <c r="F391" s="11"/>
    </row>
    <row r="392" spans="6:6">
      <c r="F392" s="11"/>
    </row>
    <row r="393" spans="6:6">
      <c r="F393" s="11"/>
    </row>
    <row r="394" spans="6:6">
      <c r="F394" s="11"/>
    </row>
    <row r="395" spans="6:6">
      <c r="F395" s="11"/>
    </row>
    <row r="396" spans="6:6">
      <c r="F396" s="11"/>
    </row>
    <row r="397" spans="6:6">
      <c r="F397" s="11"/>
    </row>
    <row r="398" spans="6:6">
      <c r="F398" s="11"/>
    </row>
    <row r="399" spans="6:6">
      <c r="F399" s="11"/>
    </row>
    <row r="400" spans="6:6">
      <c r="F400" s="11"/>
    </row>
    <row r="401" spans="6:6">
      <c r="F401" s="16"/>
    </row>
    <row r="523" spans="1:11">
      <c r="A523" s="1"/>
      <c r="B523" s="1"/>
      <c r="C523" s="1"/>
      <c r="F523" s="1"/>
      <c r="G523" s="1"/>
      <c r="H523" s="1"/>
      <c r="I523" s="1"/>
    </row>
    <row r="524" spans="1:1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>
      <c r="J525" s="1"/>
      <c r="K525" s="1"/>
    </row>
  </sheetData>
  <mergeCells count="13">
    <mergeCell ref="F4:F5"/>
    <mergeCell ref="H3:I3"/>
    <mergeCell ref="H4:H5"/>
    <mergeCell ref="I4:I5"/>
    <mergeCell ref="J3:K3"/>
    <mergeCell ref="J4:J5"/>
    <mergeCell ref="K4:K5"/>
    <mergeCell ref="B3:C3"/>
    <mergeCell ref="B4:B5"/>
    <mergeCell ref="C4:C5"/>
    <mergeCell ref="D3:E3"/>
    <mergeCell ref="D4:D5"/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2D19-0300-455F-982A-88383D995B38}">
  <dimension ref="A2:F523"/>
  <sheetViews>
    <sheetView workbookViewId="0">
      <selection activeCell="A2" sqref="A2"/>
    </sheetView>
  </sheetViews>
  <sheetFormatPr defaultRowHeight="15"/>
  <sheetData>
    <row r="2" spans="1:6">
      <c r="A2" s="1"/>
      <c r="B2" s="20" t="s">
        <v>4</v>
      </c>
      <c r="C2" s="20" t="s">
        <v>3</v>
      </c>
      <c r="D2" s="20" t="s">
        <v>2</v>
      </c>
      <c r="E2" s="20" t="s">
        <v>1</v>
      </c>
      <c r="F2" s="20" t="s">
        <v>0</v>
      </c>
    </row>
    <row r="3" spans="1:6">
      <c r="A3" s="2" t="s">
        <v>6</v>
      </c>
      <c r="B3" s="26" t="s">
        <v>11</v>
      </c>
      <c r="C3" s="26" t="s">
        <v>11</v>
      </c>
      <c r="D3" s="26" t="s">
        <v>11</v>
      </c>
      <c r="E3" s="26" t="s">
        <v>11</v>
      </c>
      <c r="F3" s="26" t="s">
        <v>11</v>
      </c>
    </row>
    <row r="4" spans="1:6">
      <c r="A4" s="3"/>
      <c r="B4" s="27"/>
      <c r="C4" s="27"/>
      <c r="D4" s="27"/>
      <c r="E4" s="27"/>
      <c r="F4" s="27"/>
    </row>
    <row r="5" spans="1:6">
      <c r="A5" s="1">
        <v>43556</v>
      </c>
      <c r="B5" s="12">
        <v>0</v>
      </c>
      <c r="C5">
        <v>0</v>
      </c>
      <c r="D5" s="11">
        <v>0</v>
      </c>
      <c r="E5">
        <v>130.274</v>
      </c>
      <c r="F5">
        <v>0</v>
      </c>
    </row>
    <row r="6" spans="1:6">
      <c r="A6" s="1">
        <v>43557</v>
      </c>
      <c r="B6" s="12">
        <v>0</v>
      </c>
      <c r="C6">
        <v>0</v>
      </c>
      <c r="D6" s="11">
        <v>0</v>
      </c>
      <c r="E6">
        <v>25.846</v>
      </c>
      <c r="F6">
        <v>0</v>
      </c>
    </row>
    <row r="7" spans="1:6">
      <c r="A7" s="1">
        <v>43558</v>
      </c>
      <c r="B7" s="12">
        <v>0</v>
      </c>
      <c r="C7">
        <v>0</v>
      </c>
      <c r="D7" s="11">
        <v>0</v>
      </c>
      <c r="E7">
        <v>0</v>
      </c>
      <c r="F7">
        <v>1.6729005999863149E-2</v>
      </c>
    </row>
    <row r="8" spans="1:6">
      <c r="A8" s="1">
        <v>43559</v>
      </c>
      <c r="B8" s="12">
        <v>0</v>
      </c>
      <c r="C8">
        <v>0</v>
      </c>
      <c r="D8" s="11">
        <v>0</v>
      </c>
      <c r="E8">
        <v>0</v>
      </c>
      <c r="F8">
        <v>51.992071417599917</v>
      </c>
    </row>
    <row r="9" spans="1:6">
      <c r="A9" s="1">
        <v>43560</v>
      </c>
      <c r="B9" s="12">
        <v>0</v>
      </c>
      <c r="C9">
        <v>0</v>
      </c>
      <c r="D9" s="11">
        <v>0</v>
      </c>
      <c r="E9">
        <v>0</v>
      </c>
      <c r="F9">
        <v>133.67388448952678</v>
      </c>
    </row>
    <row r="10" spans="1:6">
      <c r="A10" s="1">
        <v>43561</v>
      </c>
      <c r="B10" s="12">
        <v>0</v>
      </c>
      <c r="C10">
        <v>0</v>
      </c>
      <c r="D10" s="11">
        <v>0</v>
      </c>
      <c r="E10">
        <v>0</v>
      </c>
      <c r="F10">
        <v>138.15623671580107</v>
      </c>
    </row>
    <row r="11" spans="1:6">
      <c r="A11" s="1">
        <v>43562</v>
      </c>
      <c r="B11" s="12">
        <v>0</v>
      </c>
      <c r="C11">
        <v>0</v>
      </c>
      <c r="D11" s="11">
        <v>0</v>
      </c>
      <c r="E11">
        <v>0</v>
      </c>
      <c r="F11">
        <v>132.55654207359626</v>
      </c>
    </row>
    <row r="12" spans="1:6">
      <c r="A12" s="1">
        <v>43563</v>
      </c>
      <c r="B12" s="12">
        <v>0</v>
      </c>
      <c r="C12">
        <v>0</v>
      </c>
      <c r="D12" s="11">
        <v>0</v>
      </c>
      <c r="E12">
        <v>0</v>
      </c>
      <c r="F12">
        <v>138.47582491140068</v>
      </c>
    </row>
    <row r="13" spans="1:6">
      <c r="A13" s="1">
        <v>43564</v>
      </c>
      <c r="B13" s="12">
        <v>0</v>
      </c>
      <c r="C13">
        <v>0</v>
      </c>
      <c r="D13" s="11">
        <v>0</v>
      </c>
      <c r="E13">
        <v>0</v>
      </c>
      <c r="F13">
        <v>137.54321802930161</v>
      </c>
    </row>
    <row r="14" spans="1:6">
      <c r="A14" s="1">
        <v>43565</v>
      </c>
      <c r="B14" s="12">
        <v>0</v>
      </c>
      <c r="C14">
        <v>0</v>
      </c>
      <c r="D14" s="11">
        <v>0</v>
      </c>
      <c r="E14">
        <v>0</v>
      </c>
      <c r="F14">
        <v>136.08114124392529</v>
      </c>
    </row>
    <row r="15" spans="1:6">
      <c r="A15" s="1">
        <v>43566</v>
      </c>
      <c r="B15" s="12">
        <v>0</v>
      </c>
      <c r="C15">
        <v>0</v>
      </c>
      <c r="D15" s="11">
        <v>0</v>
      </c>
      <c r="E15">
        <v>0</v>
      </c>
      <c r="F15">
        <v>136.08114124392529</v>
      </c>
    </row>
    <row r="16" spans="1:6">
      <c r="A16" s="1">
        <v>43567</v>
      </c>
      <c r="B16" s="12">
        <v>0</v>
      </c>
      <c r="C16">
        <v>0</v>
      </c>
      <c r="D16" s="11">
        <v>0</v>
      </c>
      <c r="E16">
        <v>73.992999999999995</v>
      </c>
      <c r="F16">
        <v>136.08114124392529</v>
      </c>
    </row>
    <row r="17" spans="1:6">
      <c r="A17" s="1">
        <v>43568</v>
      </c>
      <c r="B17" s="12">
        <v>0</v>
      </c>
      <c r="C17">
        <v>0</v>
      </c>
      <c r="D17" s="11">
        <v>0</v>
      </c>
      <c r="E17">
        <v>136.8936296296296</v>
      </c>
      <c r="F17">
        <v>136.08114124392529</v>
      </c>
    </row>
    <row r="18" spans="1:6">
      <c r="A18" s="1">
        <v>43569</v>
      </c>
      <c r="B18" s="12">
        <v>0</v>
      </c>
      <c r="C18">
        <v>0</v>
      </c>
      <c r="D18" s="11">
        <v>0</v>
      </c>
      <c r="E18">
        <v>138.74700000000001</v>
      </c>
      <c r="F18">
        <v>123.7305391968973</v>
      </c>
    </row>
    <row r="19" spans="1:6">
      <c r="A19" s="1">
        <v>43570</v>
      </c>
      <c r="B19" s="12">
        <v>0</v>
      </c>
      <c r="C19">
        <v>0</v>
      </c>
      <c r="D19" s="11">
        <v>0</v>
      </c>
      <c r="E19">
        <v>130.33799999999999</v>
      </c>
      <c r="F19">
        <v>126.81643257760257</v>
      </c>
    </row>
    <row r="20" spans="1:6">
      <c r="A20" s="1">
        <v>43571</v>
      </c>
      <c r="B20" s="12">
        <v>0</v>
      </c>
      <c r="C20">
        <v>0</v>
      </c>
      <c r="D20" s="11">
        <v>0</v>
      </c>
      <c r="E20">
        <v>136.78100000000001</v>
      </c>
      <c r="F20">
        <v>24.127307146199048</v>
      </c>
    </row>
    <row r="21" spans="1:6">
      <c r="A21" s="1">
        <v>43572</v>
      </c>
      <c r="B21" s="12">
        <v>0</v>
      </c>
      <c r="C21">
        <v>0</v>
      </c>
      <c r="D21" s="11">
        <v>0</v>
      </c>
      <c r="E21">
        <v>25.135999999999999</v>
      </c>
      <c r="F21">
        <v>0.64334724450111391</v>
      </c>
    </row>
    <row r="22" spans="1:6">
      <c r="A22" s="1">
        <v>43573</v>
      </c>
      <c r="B22" s="12">
        <v>0</v>
      </c>
      <c r="C22">
        <v>0</v>
      </c>
      <c r="D22" s="11">
        <v>0</v>
      </c>
      <c r="E22">
        <v>2.9369999999999998</v>
      </c>
      <c r="F22">
        <v>0</v>
      </c>
    </row>
    <row r="23" spans="1:6">
      <c r="A23" s="1">
        <v>43574</v>
      </c>
      <c r="B23" s="12">
        <v>0</v>
      </c>
      <c r="C23">
        <v>0</v>
      </c>
      <c r="D23" s="11">
        <v>0</v>
      </c>
      <c r="E23">
        <v>2.9820000000000002</v>
      </c>
      <c r="F23">
        <v>0</v>
      </c>
    </row>
    <row r="24" spans="1:6">
      <c r="A24" s="1">
        <v>43575</v>
      </c>
      <c r="B24" s="12">
        <v>0</v>
      </c>
      <c r="C24">
        <v>0</v>
      </c>
      <c r="D24" s="11">
        <v>0</v>
      </c>
      <c r="E24">
        <v>2.8290000000000002</v>
      </c>
      <c r="F24">
        <v>28.63100265210122</v>
      </c>
    </row>
    <row r="25" spans="1:6">
      <c r="A25" s="1">
        <v>43576</v>
      </c>
      <c r="B25" s="12">
        <v>0</v>
      </c>
      <c r="C25">
        <v>0</v>
      </c>
      <c r="D25" s="11">
        <v>0</v>
      </c>
      <c r="E25">
        <v>53.448</v>
      </c>
      <c r="F25">
        <v>125.49067307600006</v>
      </c>
    </row>
    <row r="26" spans="1:6">
      <c r="A26" s="1">
        <v>43577</v>
      </c>
      <c r="B26" s="12">
        <v>0</v>
      </c>
      <c r="C26">
        <v>0</v>
      </c>
      <c r="D26" s="11">
        <v>0</v>
      </c>
      <c r="E26">
        <v>135.76</v>
      </c>
      <c r="F26">
        <v>130.1727842756994</v>
      </c>
    </row>
    <row r="27" spans="1:6">
      <c r="A27" s="1">
        <v>43578</v>
      </c>
      <c r="B27" s="12">
        <v>0</v>
      </c>
      <c r="C27">
        <v>0</v>
      </c>
      <c r="D27" s="11">
        <v>0</v>
      </c>
      <c r="E27">
        <v>45.31</v>
      </c>
      <c r="F27">
        <v>126.58852425969765</v>
      </c>
    </row>
    <row r="28" spans="1:6">
      <c r="A28" s="1">
        <v>43579</v>
      </c>
      <c r="B28" s="12">
        <v>0</v>
      </c>
      <c r="C28">
        <v>0</v>
      </c>
      <c r="D28" s="11">
        <v>0</v>
      </c>
      <c r="E28">
        <v>0</v>
      </c>
      <c r="F28">
        <v>42.936243559502067</v>
      </c>
    </row>
    <row r="29" spans="1:6">
      <c r="A29" s="1">
        <v>43580</v>
      </c>
      <c r="B29" s="12">
        <v>0</v>
      </c>
      <c r="C29">
        <v>0</v>
      </c>
      <c r="D29" s="11">
        <v>0</v>
      </c>
      <c r="E29">
        <v>0</v>
      </c>
      <c r="F29">
        <v>0</v>
      </c>
    </row>
    <row r="30" spans="1:6">
      <c r="A30" s="1">
        <v>43581</v>
      </c>
      <c r="B30" s="12">
        <v>0</v>
      </c>
      <c r="C30">
        <v>0</v>
      </c>
      <c r="D30" s="11">
        <v>0</v>
      </c>
      <c r="E30">
        <v>0</v>
      </c>
      <c r="F30">
        <v>0</v>
      </c>
    </row>
    <row r="31" spans="1:6">
      <c r="A31" s="1">
        <v>43582</v>
      </c>
      <c r="B31" s="12">
        <v>0</v>
      </c>
      <c r="C31">
        <v>0</v>
      </c>
      <c r="D31" s="11">
        <v>0</v>
      </c>
      <c r="E31">
        <v>0</v>
      </c>
      <c r="F31">
        <v>0</v>
      </c>
    </row>
    <row r="32" spans="1:6">
      <c r="A32" s="1">
        <v>43583</v>
      </c>
      <c r="B32" s="12">
        <v>0</v>
      </c>
      <c r="C32">
        <v>0</v>
      </c>
      <c r="D32" s="11">
        <v>0</v>
      </c>
      <c r="E32">
        <v>0</v>
      </c>
      <c r="F32">
        <v>0</v>
      </c>
    </row>
    <row r="33" spans="1:6">
      <c r="A33" s="1">
        <v>43584</v>
      </c>
      <c r="B33" s="12">
        <v>0</v>
      </c>
      <c r="C33">
        <v>0</v>
      </c>
      <c r="D33" s="11">
        <v>0</v>
      </c>
      <c r="E33">
        <v>0</v>
      </c>
      <c r="F33">
        <v>0</v>
      </c>
    </row>
    <row r="34" spans="1:6">
      <c r="A34" s="1">
        <v>43585</v>
      </c>
      <c r="B34" s="12">
        <v>0</v>
      </c>
      <c r="C34">
        <v>0</v>
      </c>
      <c r="D34" s="11">
        <v>0</v>
      </c>
      <c r="E34">
        <v>0</v>
      </c>
      <c r="F34">
        <v>0</v>
      </c>
    </row>
    <row r="35" spans="1:6">
      <c r="A35" s="1">
        <v>43586</v>
      </c>
      <c r="B35" s="12">
        <v>0</v>
      </c>
      <c r="C35">
        <v>0</v>
      </c>
      <c r="D35" s="11">
        <v>0</v>
      </c>
      <c r="E35">
        <v>0</v>
      </c>
      <c r="F35">
        <v>0</v>
      </c>
    </row>
    <row r="36" spans="1:6">
      <c r="A36" s="1">
        <v>43587</v>
      </c>
      <c r="B36" s="12">
        <v>0</v>
      </c>
      <c r="C36">
        <v>0</v>
      </c>
      <c r="D36" s="11">
        <v>0</v>
      </c>
      <c r="E36">
        <v>0</v>
      </c>
      <c r="F36">
        <v>0</v>
      </c>
    </row>
    <row r="37" spans="1:6">
      <c r="A37" s="1">
        <v>43588</v>
      </c>
      <c r="B37" s="12">
        <v>0</v>
      </c>
      <c r="C37">
        <v>0</v>
      </c>
      <c r="D37" s="11">
        <v>0</v>
      </c>
      <c r="E37">
        <v>0</v>
      </c>
      <c r="F37">
        <v>96.875035357996808</v>
      </c>
    </row>
    <row r="38" spans="1:6">
      <c r="A38" s="1">
        <v>43589</v>
      </c>
      <c r="B38" s="12">
        <v>0</v>
      </c>
      <c r="C38">
        <v>0</v>
      </c>
      <c r="D38" s="11">
        <v>0</v>
      </c>
      <c r="E38">
        <v>48.823</v>
      </c>
      <c r="F38">
        <v>114.85325734748142</v>
      </c>
    </row>
    <row r="39" spans="1:6">
      <c r="A39" s="1">
        <v>43590</v>
      </c>
      <c r="B39" s="12">
        <v>0</v>
      </c>
      <c r="C39">
        <v>0</v>
      </c>
      <c r="D39" s="11">
        <v>0</v>
      </c>
      <c r="E39">
        <v>141.97900000000001</v>
      </c>
      <c r="F39">
        <v>53.806952570199968</v>
      </c>
    </row>
    <row r="40" spans="1:6">
      <c r="A40" s="1">
        <v>43591</v>
      </c>
      <c r="B40" s="12">
        <v>0</v>
      </c>
      <c r="C40">
        <v>0</v>
      </c>
      <c r="D40" s="11">
        <v>0</v>
      </c>
      <c r="E40">
        <v>134.703</v>
      </c>
      <c r="F40">
        <v>0</v>
      </c>
    </row>
    <row r="41" spans="1:6">
      <c r="A41" s="1">
        <v>43592</v>
      </c>
      <c r="B41" s="12">
        <v>0</v>
      </c>
      <c r="C41">
        <v>0</v>
      </c>
      <c r="D41" s="11">
        <v>0</v>
      </c>
      <c r="E41">
        <v>104.694</v>
      </c>
      <c r="F41">
        <v>0</v>
      </c>
    </row>
    <row r="42" spans="1:6">
      <c r="A42" s="1">
        <v>43593</v>
      </c>
      <c r="B42" s="12">
        <v>0</v>
      </c>
      <c r="C42">
        <v>0</v>
      </c>
      <c r="D42" s="11">
        <v>64.239999999999995</v>
      </c>
      <c r="E42">
        <v>137.625</v>
      </c>
      <c r="F42">
        <v>0</v>
      </c>
    </row>
    <row r="43" spans="1:6">
      <c r="A43" s="1">
        <v>43594</v>
      </c>
      <c r="B43" s="12">
        <v>0</v>
      </c>
      <c r="C43">
        <v>0</v>
      </c>
      <c r="D43" s="11">
        <v>132.66999999999999</v>
      </c>
      <c r="E43">
        <v>136.12799999999999</v>
      </c>
      <c r="F43">
        <v>0</v>
      </c>
    </row>
    <row r="44" spans="1:6">
      <c r="A44" s="1">
        <v>43595</v>
      </c>
      <c r="B44" s="12">
        <v>0</v>
      </c>
      <c r="C44">
        <v>0</v>
      </c>
      <c r="D44" s="11">
        <v>136.35</v>
      </c>
      <c r="E44">
        <v>25.408000000000001</v>
      </c>
      <c r="F44">
        <v>0</v>
      </c>
    </row>
    <row r="45" spans="1:6">
      <c r="A45" s="1">
        <v>43596</v>
      </c>
      <c r="B45" s="12">
        <v>0</v>
      </c>
      <c r="C45">
        <v>0</v>
      </c>
      <c r="D45" s="11">
        <v>102.82693399999999</v>
      </c>
      <c r="E45">
        <v>0</v>
      </c>
      <c r="F45">
        <v>0</v>
      </c>
    </row>
    <row r="46" spans="1:6">
      <c r="A46" s="1">
        <v>43597</v>
      </c>
      <c r="B46" s="12">
        <v>0</v>
      </c>
      <c r="C46">
        <v>0</v>
      </c>
      <c r="D46" s="11">
        <v>109.41073999999999</v>
      </c>
      <c r="E46">
        <v>0</v>
      </c>
      <c r="F46">
        <v>91.302546967096632</v>
      </c>
    </row>
    <row r="47" spans="1:6">
      <c r="A47" s="1">
        <v>43598</v>
      </c>
      <c r="B47" s="12">
        <v>27.297999999999998</v>
      </c>
      <c r="C47">
        <v>0</v>
      </c>
      <c r="D47" s="11">
        <v>117.78096599999999</v>
      </c>
      <c r="E47">
        <v>41.378</v>
      </c>
      <c r="F47">
        <v>34.191279961001129</v>
      </c>
    </row>
    <row r="48" spans="1:6">
      <c r="A48" s="1">
        <v>43599</v>
      </c>
      <c r="B48" s="12">
        <v>42.512999999999998</v>
      </c>
      <c r="C48">
        <v>0</v>
      </c>
      <c r="D48" s="11">
        <v>120.165188</v>
      </c>
      <c r="E48">
        <v>137.19</v>
      </c>
      <c r="F48">
        <v>0</v>
      </c>
    </row>
    <row r="49" spans="1:6">
      <c r="A49" s="1">
        <v>43600</v>
      </c>
      <c r="B49" s="12">
        <v>51.499000000000002</v>
      </c>
      <c r="C49">
        <v>0</v>
      </c>
      <c r="D49" s="11">
        <v>126.889712</v>
      </c>
      <c r="E49">
        <v>135.79900000000001</v>
      </c>
      <c r="F49">
        <v>22.533039954300971</v>
      </c>
    </row>
    <row r="50" spans="1:6">
      <c r="A50" s="1">
        <v>43601</v>
      </c>
      <c r="B50" s="12">
        <v>46.252000000000002</v>
      </c>
      <c r="C50">
        <v>0</v>
      </c>
      <c r="D50" s="11">
        <v>116.457618</v>
      </c>
      <c r="E50">
        <v>136.13499999999999</v>
      </c>
      <c r="F50">
        <v>114.36280910679697</v>
      </c>
    </row>
    <row r="51" spans="1:6">
      <c r="A51" s="1">
        <v>43602</v>
      </c>
      <c r="B51" s="12">
        <v>41.65</v>
      </c>
      <c r="C51">
        <v>0</v>
      </c>
      <c r="D51" s="11">
        <v>117.19</v>
      </c>
      <c r="E51">
        <v>133.78399999999999</v>
      </c>
      <c r="F51">
        <v>116.50235210078891</v>
      </c>
    </row>
    <row r="52" spans="1:6">
      <c r="A52" s="1">
        <v>43603</v>
      </c>
      <c r="B52" s="12">
        <v>14.802</v>
      </c>
      <c r="C52">
        <v>0</v>
      </c>
      <c r="D52" s="11">
        <v>129.406668</v>
      </c>
      <c r="E52">
        <v>128.619</v>
      </c>
      <c r="F52">
        <v>125.18832604929804</v>
      </c>
    </row>
    <row r="53" spans="1:6">
      <c r="A53" s="1">
        <v>43604</v>
      </c>
      <c r="B53" s="12">
        <v>0</v>
      </c>
      <c r="C53">
        <v>0</v>
      </c>
      <c r="D53" s="11">
        <v>107.885796</v>
      </c>
      <c r="E53">
        <v>29.164999999999999</v>
      </c>
      <c r="F53">
        <v>101.61846811280027</v>
      </c>
    </row>
    <row r="54" spans="1:6">
      <c r="A54" s="1">
        <v>43605</v>
      </c>
      <c r="B54" s="12">
        <v>0</v>
      </c>
      <c r="C54">
        <v>0</v>
      </c>
      <c r="D54" s="11">
        <v>33.11</v>
      </c>
      <c r="E54">
        <v>0</v>
      </c>
      <c r="F54">
        <v>54.607063190095126</v>
      </c>
    </row>
    <row r="55" spans="1:6">
      <c r="A55" s="1">
        <v>43606</v>
      </c>
      <c r="B55" s="12">
        <v>0</v>
      </c>
      <c r="C55">
        <v>0</v>
      </c>
      <c r="D55" s="11">
        <v>0</v>
      </c>
      <c r="E55">
        <v>0</v>
      </c>
      <c r="F55">
        <v>0</v>
      </c>
    </row>
    <row r="56" spans="1:6">
      <c r="A56" s="1">
        <v>43607</v>
      </c>
      <c r="B56" s="12">
        <v>0</v>
      </c>
      <c r="C56">
        <v>0</v>
      </c>
      <c r="D56" s="11">
        <v>0</v>
      </c>
      <c r="E56">
        <v>3.004</v>
      </c>
      <c r="F56">
        <v>0</v>
      </c>
    </row>
    <row r="57" spans="1:6">
      <c r="A57" s="1">
        <v>43608</v>
      </c>
      <c r="B57" s="12">
        <v>0</v>
      </c>
      <c r="C57">
        <v>0</v>
      </c>
      <c r="D57" s="11">
        <v>0</v>
      </c>
      <c r="E57">
        <v>47.170999999999999</v>
      </c>
      <c r="F57">
        <v>0</v>
      </c>
    </row>
    <row r="58" spans="1:6">
      <c r="A58" s="1">
        <v>43609</v>
      </c>
      <c r="B58" s="12">
        <v>0</v>
      </c>
      <c r="C58">
        <v>0</v>
      </c>
      <c r="D58" s="11">
        <v>0</v>
      </c>
      <c r="E58">
        <v>126.24</v>
      </c>
      <c r="F58">
        <v>0</v>
      </c>
    </row>
    <row r="59" spans="1:6">
      <c r="A59" s="1">
        <v>43610</v>
      </c>
      <c r="B59" s="12">
        <v>0</v>
      </c>
      <c r="C59">
        <v>0</v>
      </c>
      <c r="D59" s="11">
        <v>0</v>
      </c>
      <c r="E59">
        <v>118.179</v>
      </c>
      <c r="F59">
        <v>0</v>
      </c>
    </row>
    <row r="60" spans="1:6">
      <c r="A60" s="1">
        <v>43611</v>
      </c>
      <c r="B60" s="12">
        <v>0</v>
      </c>
      <c r="C60">
        <v>0</v>
      </c>
      <c r="D60" s="11">
        <v>0</v>
      </c>
      <c r="E60">
        <v>124.28</v>
      </c>
      <c r="F60">
        <v>0</v>
      </c>
    </row>
    <row r="61" spans="1:6">
      <c r="A61" s="1">
        <v>43612</v>
      </c>
      <c r="B61" s="12">
        <v>0</v>
      </c>
      <c r="C61">
        <v>60.28</v>
      </c>
      <c r="D61" s="11">
        <v>0</v>
      </c>
      <c r="E61">
        <v>118.88500000000001</v>
      </c>
      <c r="F61">
        <v>0</v>
      </c>
    </row>
    <row r="62" spans="1:6">
      <c r="A62" s="1">
        <v>43613</v>
      </c>
      <c r="B62" s="12">
        <v>0</v>
      </c>
      <c r="C62">
        <v>135.97999999999999</v>
      </c>
      <c r="D62" s="11">
        <v>0</v>
      </c>
      <c r="E62">
        <v>133.108</v>
      </c>
      <c r="F62">
        <v>0</v>
      </c>
    </row>
    <row r="63" spans="1:6">
      <c r="A63" s="1">
        <v>43614</v>
      </c>
      <c r="B63" s="12">
        <v>0</v>
      </c>
      <c r="C63">
        <v>132.91</v>
      </c>
      <c r="D63" s="11">
        <v>0</v>
      </c>
      <c r="E63">
        <v>113.572</v>
      </c>
      <c r="F63">
        <v>0</v>
      </c>
    </row>
    <row r="64" spans="1:6">
      <c r="A64" s="1">
        <v>43615</v>
      </c>
      <c r="B64" s="12">
        <v>0</v>
      </c>
      <c r="C64">
        <v>134.43</v>
      </c>
      <c r="D64" s="11">
        <v>0</v>
      </c>
      <c r="E64">
        <v>129.56</v>
      </c>
      <c r="F64">
        <v>0</v>
      </c>
    </row>
    <row r="65" spans="1:6">
      <c r="A65" s="1">
        <v>43616</v>
      </c>
      <c r="B65" s="12">
        <v>10.37</v>
      </c>
      <c r="C65">
        <v>118.57</v>
      </c>
      <c r="D65" s="11">
        <v>0</v>
      </c>
      <c r="E65">
        <v>115.729</v>
      </c>
      <c r="F65">
        <v>0</v>
      </c>
    </row>
    <row r="66" spans="1:6">
      <c r="A66" s="1">
        <v>43617</v>
      </c>
      <c r="B66" s="12">
        <v>0</v>
      </c>
      <c r="C66">
        <v>48.94</v>
      </c>
      <c r="D66" s="11">
        <v>0</v>
      </c>
      <c r="E66">
        <v>127.81126889601467</v>
      </c>
      <c r="F66">
        <v>0</v>
      </c>
    </row>
    <row r="67" spans="1:6">
      <c r="A67" s="1">
        <v>43618</v>
      </c>
      <c r="B67" s="12">
        <v>0</v>
      </c>
      <c r="C67">
        <v>0</v>
      </c>
      <c r="D67" s="11">
        <v>0</v>
      </c>
      <c r="E67">
        <v>122.009</v>
      </c>
      <c r="F67">
        <v>0</v>
      </c>
    </row>
    <row r="68" spans="1:6">
      <c r="A68" s="1">
        <v>43619</v>
      </c>
      <c r="B68" s="12">
        <v>0</v>
      </c>
      <c r="C68">
        <v>0</v>
      </c>
      <c r="D68" s="11">
        <v>0</v>
      </c>
      <c r="E68">
        <v>26.081</v>
      </c>
      <c r="F68">
        <v>1.7492676183991134</v>
      </c>
    </row>
    <row r="69" spans="1:6">
      <c r="A69" s="1">
        <v>43620</v>
      </c>
      <c r="B69" s="12">
        <v>0</v>
      </c>
      <c r="C69">
        <v>0</v>
      </c>
      <c r="D69" s="11">
        <v>98.9</v>
      </c>
      <c r="E69">
        <v>0</v>
      </c>
      <c r="F69">
        <v>124.55736393149942</v>
      </c>
    </row>
    <row r="70" spans="1:6">
      <c r="A70" s="1">
        <v>43621</v>
      </c>
      <c r="B70" s="12">
        <v>0</v>
      </c>
      <c r="C70">
        <v>0</v>
      </c>
      <c r="D70" s="11">
        <v>131.46</v>
      </c>
      <c r="E70">
        <v>0</v>
      </c>
      <c r="F70">
        <v>112.78483242709935</v>
      </c>
    </row>
    <row r="71" spans="1:6">
      <c r="A71" s="1">
        <v>43622</v>
      </c>
      <c r="B71" s="12">
        <v>0</v>
      </c>
      <c r="C71">
        <v>0</v>
      </c>
      <c r="D71" s="11">
        <v>29.58</v>
      </c>
      <c r="E71">
        <v>0</v>
      </c>
      <c r="F71">
        <v>58.078634013999256</v>
      </c>
    </row>
    <row r="72" spans="1:6">
      <c r="A72" s="1">
        <v>43623</v>
      </c>
      <c r="B72" s="15">
        <v>0</v>
      </c>
      <c r="C72">
        <v>0</v>
      </c>
      <c r="D72" s="11">
        <v>0</v>
      </c>
      <c r="E72">
        <v>0</v>
      </c>
      <c r="F72">
        <v>0.12620513899996877</v>
      </c>
    </row>
    <row r="73" spans="1:6">
      <c r="A73" s="1">
        <v>43624</v>
      </c>
      <c r="B73" s="12">
        <v>0</v>
      </c>
      <c r="C73">
        <v>0</v>
      </c>
      <c r="D73" s="11">
        <v>0</v>
      </c>
      <c r="E73">
        <v>0</v>
      </c>
      <c r="F73">
        <v>0</v>
      </c>
    </row>
    <row r="74" spans="1:6">
      <c r="A74" s="1">
        <v>43625</v>
      </c>
      <c r="B74" s="12">
        <v>0</v>
      </c>
      <c r="C74">
        <v>0</v>
      </c>
      <c r="D74" s="11">
        <v>0</v>
      </c>
      <c r="E74">
        <v>0</v>
      </c>
      <c r="F74">
        <v>0</v>
      </c>
    </row>
    <row r="75" spans="1:6">
      <c r="A75" s="1">
        <v>43626</v>
      </c>
      <c r="B75" s="12">
        <v>0</v>
      </c>
      <c r="C75">
        <v>0</v>
      </c>
      <c r="D75" s="11">
        <v>0</v>
      </c>
      <c r="E75">
        <v>0</v>
      </c>
      <c r="F75">
        <v>0</v>
      </c>
    </row>
    <row r="76" spans="1:6">
      <c r="A76" s="1">
        <v>43627</v>
      </c>
      <c r="B76" s="12">
        <v>0</v>
      </c>
      <c r="C76">
        <v>0</v>
      </c>
      <c r="D76" s="11">
        <v>0</v>
      </c>
      <c r="E76">
        <v>0</v>
      </c>
      <c r="F76">
        <v>0</v>
      </c>
    </row>
    <row r="77" spans="1:6">
      <c r="A77" s="1">
        <v>43628</v>
      </c>
      <c r="B77" s="12">
        <v>0</v>
      </c>
      <c r="C77">
        <v>0</v>
      </c>
      <c r="D77">
        <v>0</v>
      </c>
      <c r="E77">
        <v>0</v>
      </c>
      <c r="F77">
        <v>0</v>
      </c>
    </row>
    <row r="78" spans="1:6">
      <c r="A78" s="1">
        <v>43629</v>
      </c>
      <c r="B78" s="12">
        <v>0</v>
      </c>
      <c r="C78">
        <v>0</v>
      </c>
      <c r="D78">
        <v>0</v>
      </c>
      <c r="E78">
        <v>0</v>
      </c>
      <c r="F78">
        <v>0</v>
      </c>
    </row>
    <row r="79" spans="1:6">
      <c r="A79" s="1">
        <v>43630</v>
      </c>
      <c r="B79" s="12">
        <v>0</v>
      </c>
      <c r="C79">
        <v>0</v>
      </c>
      <c r="D79">
        <v>0</v>
      </c>
      <c r="E79">
        <v>0</v>
      </c>
      <c r="F79">
        <v>0</v>
      </c>
    </row>
    <row r="80" spans="1:6">
      <c r="A80" s="1">
        <v>43631</v>
      </c>
      <c r="B80" s="12">
        <v>0</v>
      </c>
      <c r="C80">
        <v>0</v>
      </c>
      <c r="D80">
        <v>0</v>
      </c>
      <c r="E80">
        <v>0</v>
      </c>
      <c r="F80">
        <v>0</v>
      </c>
    </row>
    <row r="81" spans="1:6">
      <c r="A81" s="1">
        <v>43632</v>
      </c>
      <c r="B81" s="12">
        <v>0</v>
      </c>
      <c r="C81">
        <v>0</v>
      </c>
      <c r="D81">
        <v>0</v>
      </c>
      <c r="E81">
        <v>0</v>
      </c>
      <c r="F81">
        <v>0</v>
      </c>
    </row>
    <row r="82" spans="1:6">
      <c r="A82" s="1">
        <v>43633</v>
      </c>
      <c r="B82" s="12">
        <v>0</v>
      </c>
      <c r="C82">
        <v>0</v>
      </c>
      <c r="D82">
        <v>0</v>
      </c>
      <c r="E82">
        <v>0</v>
      </c>
      <c r="F82">
        <v>0</v>
      </c>
    </row>
    <row r="83" spans="1:6">
      <c r="A83" s="1">
        <v>43634</v>
      </c>
      <c r="B83" s="12">
        <v>0</v>
      </c>
      <c r="C83">
        <v>0</v>
      </c>
      <c r="D83">
        <v>0</v>
      </c>
      <c r="E83">
        <v>37.720999999999997</v>
      </c>
      <c r="F83">
        <v>0</v>
      </c>
    </row>
    <row r="84" spans="1:6">
      <c r="A84" s="1">
        <v>43635</v>
      </c>
      <c r="B84" s="12">
        <v>0</v>
      </c>
      <c r="C84">
        <v>0</v>
      </c>
      <c r="D84">
        <v>0</v>
      </c>
      <c r="E84">
        <v>135.56100000000001</v>
      </c>
      <c r="F84">
        <v>0</v>
      </c>
    </row>
    <row r="85" spans="1:6">
      <c r="A85" s="1">
        <v>43636</v>
      </c>
      <c r="B85" s="12">
        <v>0</v>
      </c>
      <c r="C85">
        <v>0</v>
      </c>
      <c r="D85">
        <v>0</v>
      </c>
      <c r="E85">
        <v>128.43199999999999</v>
      </c>
      <c r="F85">
        <v>0</v>
      </c>
    </row>
    <row r="86" spans="1:6">
      <c r="A86" s="1">
        <v>43637</v>
      </c>
      <c r="B86" s="12">
        <v>0</v>
      </c>
      <c r="C86">
        <v>0</v>
      </c>
      <c r="D86">
        <v>0</v>
      </c>
      <c r="E86">
        <v>122.782</v>
      </c>
      <c r="F86">
        <v>0</v>
      </c>
    </row>
    <row r="87" spans="1:6">
      <c r="A87" s="1">
        <v>43638</v>
      </c>
      <c r="B87" s="12">
        <v>46.274999999999999</v>
      </c>
      <c r="C87">
        <v>0</v>
      </c>
      <c r="D87">
        <v>0</v>
      </c>
      <c r="E87">
        <v>123.205</v>
      </c>
      <c r="F87">
        <v>0</v>
      </c>
    </row>
    <row r="88" spans="1:6">
      <c r="A88" s="1">
        <v>43639</v>
      </c>
      <c r="B88" s="12">
        <v>58.515999999999998</v>
      </c>
      <c r="C88">
        <v>0</v>
      </c>
      <c r="D88">
        <v>0</v>
      </c>
      <c r="E88">
        <v>133.083</v>
      </c>
      <c r="F88">
        <v>0</v>
      </c>
    </row>
    <row r="89" spans="1:6">
      <c r="A89" s="1">
        <v>43640</v>
      </c>
      <c r="B89" s="12">
        <v>19.728999999999999</v>
      </c>
      <c r="C89">
        <v>0</v>
      </c>
      <c r="D89">
        <v>0</v>
      </c>
      <c r="E89">
        <v>129.386</v>
      </c>
      <c r="F89">
        <v>0</v>
      </c>
    </row>
    <row r="90" spans="1:6">
      <c r="A90" s="1">
        <v>43641</v>
      </c>
      <c r="B90" s="12">
        <v>0</v>
      </c>
      <c r="C90">
        <v>0</v>
      </c>
      <c r="D90">
        <v>0</v>
      </c>
      <c r="E90">
        <v>128.761</v>
      </c>
      <c r="F90">
        <v>0</v>
      </c>
    </row>
    <row r="91" spans="1:6">
      <c r="A91" s="1">
        <v>43642</v>
      </c>
      <c r="B91" s="12">
        <v>0</v>
      </c>
      <c r="C91">
        <v>0</v>
      </c>
      <c r="D91">
        <v>0</v>
      </c>
      <c r="E91">
        <v>131.25200000000001</v>
      </c>
      <c r="F91">
        <v>0</v>
      </c>
    </row>
    <row r="92" spans="1:6">
      <c r="A92" s="1">
        <v>43643</v>
      </c>
      <c r="B92" s="12">
        <v>0</v>
      </c>
      <c r="C92">
        <v>0</v>
      </c>
      <c r="D92">
        <v>0</v>
      </c>
      <c r="E92">
        <v>128.76</v>
      </c>
      <c r="F92">
        <v>0</v>
      </c>
    </row>
    <row r="93" spans="1:6">
      <c r="A93" s="1">
        <v>43644</v>
      </c>
      <c r="B93" s="12">
        <v>0</v>
      </c>
      <c r="C93">
        <v>102.76</v>
      </c>
      <c r="D93">
        <v>0</v>
      </c>
      <c r="E93">
        <v>131.68299999999999</v>
      </c>
      <c r="F93">
        <v>0</v>
      </c>
    </row>
    <row r="94" spans="1:6">
      <c r="A94" s="1">
        <v>43645</v>
      </c>
      <c r="B94" s="12">
        <v>0</v>
      </c>
      <c r="C94">
        <v>125.43</v>
      </c>
      <c r="D94">
        <v>0</v>
      </c>
      <c r="E94">
        <v>138.85319999999999</v>
      </c>
      <c r="F94">
        <v>0</v>
      </c>
    </row>
    <row r="95" spans="1:6">
      <c r="A95" s="1">
        <v>43646</v>
      </c>
      <c r="B95" s="12">
        <v>9.6419999999999995</v>
      </c>
      <c r="C95">
        <v>111.99</v>
      </c>
      <c r="D95">
        <v>0</v>
      </c>
      <c r="E95">
        <v>140.06</v>
      </c>
      <c r="F95">
        <v>0</v>
      </c>
    </row>
    <row r="96" spans="1:6">
      <c r="A96" s="1">
        <v>43647</v>
      </c>
      <c r="B96" s="12">
        <v>0</v>
      </c>
      <c r="C96" s="11">
        <v>114.08836599999999</v>
      </c>
      <c r="D96">
        <v>0</v>
      </c>
      <c r="E96">
        <v>150.01599999999999</v>
      </c>
      <c r="F96">
        <v>0</v>
      </c>
    </row>
    <row r="97" spans="1:6">
      <c r="A97" s="1">
        <v>43648</v>
      </c>
      <c r="B97" s="12">
        <v>0</v>
      </c>
      <c r="C97" s="11">
        <v>123.88872600000001</v>
      </c>
      <c r="D97">
        <v>0</v>
      </c>
      <c r="E97">
        <v>138.81800000000001</v>
      </c>
      <c r="F97">
        <v>4.9379999999999997</v>
      </c>
    </row>
    <row r="98" spans="1:6">
      <c r="A98" s="1">
        <v>43649</v>
      </c>
      <c r="B98" s="12">
        <v>1.2070000000000001</v>
      </c>
      <c r="C98">
        <v>28.2</v>
      </c>
      <c r="D98">
        <v>0</v>
      </c>
      <c r="E98">
        <v>137.34399999999999</v>
      </c>
      <c r="F98">
        <v>122.17400000000001</v>
      </c>
    </row>
    <row r="99" spans="1:6">
      <c r="A99" s="1">
        <v>43650</v>
      </c>
      <c r="B99" s="12">
        <v>120.881</v>
      </c>
      <c r="C99">
        <v>0</v>
      </c>
      <c r="D99">
        <v>0</v>
      </c>
      <c r="E99">
        <v>143.60900000000001</v>
      </c>
      <c r="F99">
        <v>112.92100000000001</v>
      </c>
    </row>
    <row r="100" spans="1:6">
      <c r="A100" s="1">
        <v>43651</v>
      </c>
      <c r="B100" s="12">
        <v>85.486000000000004</v>
      </c>
      <c r="C100">
        <v>0</v>
      </c>
      <c r="D100">
        <v>0</v>
      </c>
      <c r="E100">
        <v>148.51599999999999</v>
      </c>
      <c r="F100">
        <v>119.24</v>
      </c>
    </row>
    <row r="101" spans="1:6">
      <c r="A101" s="1">
        <v>43652</v>
      </c>
      <c r="B101" s="12">
        <v>53.651000000000003</v>
      </c>
      <c r="C101">
        <v>0</v>
      </c>
      <c r="D101">
        <v>0</v>
      </c>
      <c r="E101">
        <v>136.60911627906978</v>
      </c>
      <c r="F101">
        <v>120.34399999999999</v>
      </c>
    </row>
    <row r="102" spans="1:6">
      <c r="A102" s="1">
        <v>43653</v>
      </c>
      <c r="B102" s="12">
        <v>24.581</v>
      </c>
      <c r="C102">
        <v>32.057000000000002</v>
      </c>
      <c r="D102">
        <v>0</v>
      </c>
      <c r="E102">
        <v>132.828</v>
      </c>
      <c r="F102">
        <v>20.364999999999998</v>
      </c>
    </row>
    <row r="103" spans="1:6">
      <c r="A103" s="1">
        <v>43654</v>
      </c>
      <c r="B103" s="12">
        <v>0</v>
      </c>
      <c r="C103">
        <v>60.690376000000001</v>
      </c>
      <c r="D103">
        <v>0</v>
      </c>
      <c r="E103">
        <v>137.56200000000001</v>
      </c>
      <c r="F103">
        <v>0</v>
      </c>
    </row>
    <row r="104" spans="1:6">
      <c r="A104" s="1">
        <v>43655</v>
      </c>
      <c r="B104" s="12">
        <v>0</v>
      </c>
      <c r="C104">
        <v>63.071604000000001</v>
      </c>
      <c r="D104">
        <v>0</v>
      </c>
      <c r="E104">
        <v>142.512</v>
      </c>
      <c r="F104">
        <v>0</v>
      </c>
    </row>
    <row r="105" spans="1:6">
      <c r="A105" s="1">
        <v>43656</v>
      </c>
      <c r="B105" s="12">
        <v>0</v>
      </c>
      <c r="C105">
        <v>16.41</v>
      </c>
      <c r="D105">
        <v>0</v>
      </c>
      <c r="E105">
        <v>139.72900000000001</v>
      </c>
      <c r="F105">
        <v>0</v>
      </c>
    </row>
    <row r="106" spans="1:6">
      <c r="A106" s="1">
        <v>43657</v>
      </c>
      <c r="B106" s="12">
        <v>0</v>
      </c>
      <c r="C106">
        <v>0</v>
      </c>
      <c r="D106">
        <v>0</v>
      </c>
      <c r="E106">
        <v>145.142</v>
      </c>
      <c r="F106">
        <v>0</v>
      </c>
    </row>
    <row r="107" spans="1:6">
      <c r="A107" s="1">
        <v>43658</v>
      </c>
      <c r="B107" s="12">
        <v>0</v>
      </c>
      <c r="C107">
        <v>0</v>
      </c>
      <c r="D107">
        <v>0</v>
      </c>
      <c r="E107">
        <v>142.1</v>
      </c>
      <c r="F107">
        <v>0</v>
      </c>
    </row>
    <row r="108" spans="1:6">
      <c r="A108" s="1">
        <v>43659</v>
      </c>
      <c r="B108" s="12">
        <v>0</v>
      </c>
      <c r="C108">
        <v>91.31</v>
      </c>
      <c r="D108">
        <v>0</v>
      </c>
      <c r="E108">
        <v>146.69</v>
      </c>
      <c r="F108">
        <v>0</v>
      </c>
    </row>
    <row r="109" spans="1:6">
      <c r="A109" s="1">
        <v>43660</v>
      </c>
      <c r="B109" s="12">
        <v>0</v>
      </c>
      <c r="C109">
        <v>25.86</v>
      </c>
      <c r="D109">
        <v>0</v>
      </c>
      <c r="E109">
        <v>141.011</v>
      </c>
      <c r="F109">
        <v>0</v>
      </c>
    </row>
    <row r="110" spans="1:6">
      <c r="A110" s="1">
        <v>43661</v>
      </c>
      <c r="B110" s="12">
        <v>0</v>
      </c>
      <c r="C110">
        <v>0</v>
      </c>
      <c r="D110">
        <v>0</v>
      </c>
      <c r="E110">
        <v>144.72200000000001</v>
      </c>
      <c r="F110">
        <v>0</v>
      </c>
    </row>
    <row r="111" spans="1:6">
      <c r="A111" s="1">
        <v>43662</v>
      </c>
      <c r="B111" s="12">
        <v>0</v>
      </c>
      <c r="C111">
        <v>0</v>
      </c>
      <c r="D111">
        <v>0</v>
      </c>
      <c r="E111">
        <v>135.58600000000001</v>
      </c>
      <c r="F111">
        <v>0</v>
      </c>
    </row>
    <row r="112" spans="1:6">
      <c r="A112" s="1">
        <v>43663</v>
      </c>
      <c r="B112" s="12">
        <v>0</v>
      </c>
      <c r="C112">
        <v>0</v>
      </c>
      <c r="D112">
        <v>0</v>
      </c>
      <c r="E112">
        <v>140.58600000000001</v>
      </c>
      <c r="F112">
        <v>0</v>
      </c>
    </row>
    <row r="113" spans="1:6">
      <c r="A113" s="1">
        <v>43664</v>
      </c>
      <c r="B113" s="12">
        <v>58.01</v>
      </c>
      <c r="C113">
        <v>0</v>
      </c>
      <c r="D113">
        <v>0</v>
      </c>
      <c r="E113">
        <v>145.13900000000001</v>
      </c>
      <c r="F113">
        <v>0</v>
      </c>
    </row>
    <row r="114" spans="1:6">
      <c r="A114" s="1">
        <v>43665</v>
      </c>
      <c r="B114" s="12">
        <v>133.28899999999999</v>
      </c>
      <c r="C114">
        <v>0</v>
      </c>
      <c r="D114">
        <v>0</v>
      </c>
      <c r="E114">
        <v>148.96700000000001</v>
      </c>
      <c r="F114">
        <v>0</v>
      </c>
    </row>
    <row r="115" spans="1:6">
      <c r="A115" s="1">
        <v>43666</v>
      </c>
      <c r="B115" s="12">
        <v>120.15</v>
      </c>
      <c r="C115">
        <v>0</v>
      </c>
      <c r="D115">
        <v>0</v>
      </c>
      <c r="E115">
        <v>143.6703157894737</v>
      </c>
      <c r="F115">
        <v>61.478999999999999</v>
      </c>
    </row>
    <row r="116" spans="1:6">
      <c r="A116" s="1">
        <v>43667</v>
      </c>
      <c r="B116" s="12">
        <v>132.88999999999999</v>
      </c>
      <c r="C116">
        <v>0</v>
      </c>
      <c r="D116">
        <v>0</v>
      </c>
      <c r="E116">
        <v>145.512</v>
      </c>
      <c r="F116">
        <v>25.021000000000001</v>
      </c>
    </row>
    <row r="117" spans="1:6">
      <c r="A117" s="1">
        <v>43668</v>
      </c>
      <c r="B117" s="12">
        <v>88.62</v>
      </c>
      <c r="C117">
        <v>0</v>
      </c>
      <c r="D117">
        <v>0</v>
      </c>
      <c r="E117">
        <v>143.01300000000001</v>
      </c>
      <c r="F117">
        <v>12.435</v>
      </c>
    </row>
    <row r="118" spans="1:6">
      <c r="A118" s="1">
        <v>43669</v>
      </c>
      <c r="B118" s="12">
        <v>61.4</v>
      </c>
      <c r="C118">
        <v>0</v>
      </c>
      <c r="D118">
        <v>0</v>
      </c>
      <c r="E118">
        <v>145.108</v>
      </c>
      <c r="F118">
        <v>112.568</v>
      </c>
    </row>
    <row r="119" spans="1:6">
      <c r="A119" s="1">
        <v>43670</v>
      </c>
      <c r="B119" s="12">
        <v>56.58</v>
      </c>
      <c r="C119">
        <v>35.26</v>
      </c>
      <c r="D119">
        <v>0</v>
      </c>
      <c r="E119">
        <v>145.71100000000001</v>
      </c>
      <c r="F119">
        <v>110.276</v>
      </c>
    </row>
    <row r="120" spans="1:6">
      <c r="A120" s="1">
        <v>43671</v>
      </c>
      <c r="B120" s="12">
        <v>60.002899999999997</v>
      </c>
      <c r="C120">
        <v>130.43</v>
      </c>
      <c r="D120">
        <v>0</v>
      </c>
      <c r="E120">
        <v>142.83199999999999</v>
      </c>
      <c r="F120">
        <v>0</v>
      </c>
    </row>
    <row r="121" spans="1:6">
      <c r="A121" s="1">
        <v>43672</v>
      </c>
      <c r="B121" s="12">
        <v>8.1370000000000005</v>
      </c>
      <c r="C121">
        <v>32.630000000000003</v>
      </c>
      <c r="D121">
        <v>0</v>
      </c>
      <c r="E121">
        <v>144.57400000000001</v>
      </c>
      <c r="F121">
        <v>0</v>
      </c>
    </row>
    <row r="122" spans="1:6">
      <c r="A122" s="1">
        <v>43673</v>
      </c>
      <c r="B122" s="12">
        <v>0</v>
      </c>
      <c r="C122">
        <v>0</v>
      </c>
      <c r="D122" s="11">
        <v>95.307004000000006</v>
      </c>
      <c r="E122">
        <v>145.66645598194131</v>
      </c>
      <c r="F122">
        <v>0</v>
      </c>
    </row>
    <row r="123" spans="1:6">
      <c r="A123" s="1">
        <v>43674</v>
      </c>
      <c r="B123" s="12">
        <v>0</v>
      </c>
      <c r="C123">
        <v>0</v>
      </c>
      <c r="D123" s="11">
        <v>114.69315400000001</v>
      </c>
      <c r="E123">
        <v>146.41399999999999</v>
      </c>
      <c r="F123">
        <v>114.589</v>
      </c>
    </row>
    <row r="124" spans="1:6">
      <c r="A124" s="1">
        <v>43675</v>
      </c>
      <c r="B124" s="12">
        <v>0</v>
      </c>
      <c r="C124">
        <v>5.83</v>
      </c>
      <c r="D124" s="11">
        <v>131.996478</v>
      </c>
      <c r="E124">
        <v>145.46899999999999</v>
      </c>
      <c r="F124">
        <v>115.447</v>
      </c>
    </row>
    <row r="125" spans="1:6">
      <c r="A125" s="1">
        <v>43676</v>
      </c>
      <c r="B125" s="12">
        <v>0</v>
      </c>
      <c r="C125">
        <v>122.76</v>
      </c>
      <c r="D125" s="11">
        <v>122.4</v>
      </c>
      <c r="E125">
        <v>145.304</v>
      </c>
      <c r="F125">
        <v>108.53</v>
      </c>
    </row>
    <row r="126" spans="1:6">
      <c r="A126" s="1">
        <v>43677</v>
      </c>
      <c r="B126" s="12">
        <v>0</v>
      </c>
      <c r="C126" s="11">
        <v>130.72499999999999</v>
      </c>
      <c r="D126" s="11">
        <v>125.32</v>
      </c>
      <c r="E126">
        <v>142.899</v>
      </c>
      <c r="F126">
        <v>122.744</v>
      </c>
    </row>
    <row r="127" spans="1:6">
      <c r="A127" s="1">
        <v>43678</v>
      </c>
      <c r="B127" s="12">
        <v>0</v>
      </c>
      <c r="C127" s="11">
        <v>134.808842</v>
      </c>
      <c r="D127" s="11">
        <v>120.14</v>
      </c>
      <c r="E127">
        <v>148.2735666286014</v>
      </c>
      <c r="F127">
        <v>135.727</v>
      </c>
    </row>
    <row r="128" spans="1:6">
      <c r="A128" s="1">
        <v>43679</v>
      </c>
      <c r="B128" s="12">
        <v>0</v>
      </c>
      <c r="C128" s="11">
        <v>128.335814</v>
      </c>
      <c r="D128" s="11">
        <v>113.57</v>
      </c>
      <c r="E128">
        <v>145.31178306690231</v>
      </c>
      <c r="F128">
        <v>132.91800000000001</v>
      </c>
    </row>
    <row r="129" spans="1:6">
      <c r="A129" s="1">
        <v>43680</v>
      </c>
      <c r="B129" s="12">
        <v>0</v>
      </c>
      <c r="C129" s="11">
        <v>124.85978</v>
      </c>
      <c r="D129" s="11">
        <v>132.96353999999999</v>
      </c>
      <c r="E129">
        <v>147.50058411829917</v>
      </c>
      <c r="F129">
        <v>117.28</v>
      </c>
    </row>
    <row r="130" spans="1:6">
      <c r="A130" s="1">
        <v>43681</v>
      </c>
      <c r="B130" s="12">
        <v>0</v>
      </c>
      <c r="C130" s="11">
        <v>124.458584</v>
      </c>
      <c r="D130" s="11">
        <v>114.85183599999999</v>
      </c>
      <c r="E130">
        <v>148.71438157739863</v>
      </c>
      <c r="F130">
        <v>127.35299999999999</v>
      </c>
    </row>
    <row r="131" spans="1:6">
      <c r="A131" s="1">
        <v>43682</v>
      </c>
      <c r="B131" s="12">
        <v>0</v>
      </c>
      <c r="C131" s="11">
        <v>120.92766</v>
      </c>
      <c r="D131" s="11">
        <v>25.322254000000001</v>
      </c>
      <c r="E131">
        <v>149.03660664799995</v>
      </c>
      <c r="F131">
        <v>109.83499999999999</v>
      </c>
    </row>
    <row r="132" spans="1:6">
      <c r="A132" s="1">
        <v>43683</v>
      </c>
      <c r="B132" s="12">
        <v>0</v>
      </c>
      <c r="C132" s="11">
        <v>119.72494829268292</v>
      </c>
      <c r="D132" s="11">
        <v>0</v>
      </c>
      <c r="E132">
        <v>148.79007029899955</v>
      </c>
      <c r="F132">
        <v>131.465</v>
      </c>
    </row>
    <row r="133" spans="1:6">
      <c r="A133" s="1">
        <v>43684</v>
      </c>
      <c r="B133" s="12">
        <v>0</v>
      </c>
      <c r="C133" s="11">
        <v>133.46852799999999</v>
      </c>
      <c r="D133" s="11">
        <v>34.880000000000003</v>
      </c>
      <c r="E133">
        <v>146.67044355689922</v>
      </c>
      <c r="F133">
        <v>130.63499999999999</v>
      </c>
    </row>
    <row r="134" spans="1:6">
      <c r="A134" s="1">
        <v>43685</v>
      </c>
      <c r="B134" s="12">
        <v>0</v>
      </c>
      <c r="C134" s="11">
        <v>139.344752</v>
      </c>
      <c r="D134" s="11">
        <v>137.21003000000002</v>
      </c>
      <c r="E134">
        <v>148.30922239500097</v>
      </c>
      <c r="F134">
        <v>124.4</v>
      </c>
    </row>
    <row r="135" spans="1:6">
      <c r="A135" s="1">
        <v>43686</v>
      </c>
      <c r="B135" s="12">
        <v>0</v>
      </c>
      <c r="C135" s="11">
        <v>133.30086400000002</v>
      </c>
      <c r="D135" s="11">
        <v>143.32976599999998</v>
      </c>
      <c r="E135">
        <v>147.80158456699922</v>
      </c>
      <c r="F135">
        <v>129.75800000000001</v>
      </c>
    </row>
    <row r="136" spans="1:6">
      <c r="A136" s="1">
        <v>43687</v>
      </c>
      <c r="B136" s="12">
        <v>0</v>
      </c>
      <c r="C136" s="11">
        <v>129.35976199999999</v>
      </c>
      <c r="D136" s="11">
        <v>114.60233599999999</v>
      </c>
      <c r="E136">
        <v>144.56622790220007</v>
      </c>
      <c r="F136">
        <v>115.34699999999999</v>
      </c>
    </row>
    <row r="137" spans="1:6">
      <c r="A137" s="1">
        <v>43688</v>
      </c>
      <c r="B137" s="12">
        <v>48.9</v>
      </c>
      <c r="C137" s="11">
        <v>141.84374399999999</v>
      </c>
      <c r="D137" s="11">
        <v>113.310924</v>
      </c>
      <c r="E137">
        <v>148.35549230030179</v>
      </c>
      <c r="F137">
        <v>124.10599999999999</v>
      </c>
    </row>
    <row r="138" spans="1:6">
      <c r="A138" s="1">
        <v>43689</v>
      </c>
      <c r="B138" s="21">
        <v>138.75692999999998</v>
      </c>
      <c r="C138" s="11">
        <v>129.728024</v>
      </c>
      <c r="D138" s="11">
        <v>51.689413999999999</v>
      </c>
      <c r="E138">
        <v>148.2978444085978</v>
      </c>
      <c r="F138">
        <v>127.40600000000001</v>
      </c>
    </row>
    <row r="139" spans="1:6">
      <c r="A139" s="1">
        <v>43690</v>
      </c>
      <c r="B139" s="21">
        <v>138.75692999999998</v>
      </c>
      <c r="C139" s="11">
        <v>136.838774</v>
      </c>
      <c r="D139" s="11">
        <v>0</v>
      </c>
      <c r="E139">
        <v>150.08577284609899</v>
      </c>
      <c r="F139">
        <v>129.49299999999999</v>
      </c>
    </row>
    <row r="140" spans="1:6">
      <c r="A140" s="1">
        <v>43691</v>
      </c>
      <c r="B140" s="21">
        <v>123.40908719999999</v>
      </c>
      <c r="C140" s="11">
        <v>140.33676399999999</v>
      </c>
      <c r="D140" s="11">
        <v>0</v>
      </c>
      <c r="E140">
        <v>148.59232844639942</v>
      </c>
    </row>
    <row r="141" spans="1:6">
      <c r="A141" s="1">
        <v>43692</v>
      </c>
      <c r="B141" s="21">
        <v>139.11221799999998</v>
      </c>
      <c r="C141" s="11">
        <v>137.85274199999998</v>
      </c>
      <c r="D141" s="11">
        <v>0</v>
      </c>
      <c r="E141">
        <v>149.71885401230304</v>
      </c>
    </row>
    <row r="142" spans="1:6">
      <c r="A142" s="1">
        <v>43693</v>
      </c>
      <c r="B142" s="21">
        <v>144.93</v>
      </c>
      <c r="C142" s="11">
        <v>136.55799625531915</v>
      </c>
      <c r="D142" s="11">
        <v>0</v>
      </c>
      <c r="E142">
        <v>150.34543412620201</v>
      </c>
    </row>
    <row r="143" spans="1:6">
      <c r="A143" s="1">
        <v>43694</v>
      </c>
      <c r="B143" s="21">
        <v>133.75</v>
      </c>
      <c r="C143" s="11">
        <v>135.141176</v>
      </c>
      <c r="D143" s="11">
        <v>107.91074599999999</v>
      </c>
      <c r="E143">
        <v>149.39870033823649</v>
      </c>
    </row>
    <row r="144" spans="1:6">
      <c r="A144" s="1">
        <v>43695</v>
      </c>
      <c r="B144" s="21">
        <v>139.05000000000001</v>
      </c>
      <c r="C144" s="11">
        <v>130.30096278260871</v>
      </c>
      <c r="D144" s="11">
        <v>125.594308</v>
      </c>
      <c r="E144">
        <v>149.20998823910207</v>
      </c>
    </row>
    <row r="145" spans="1:5">
      <c r="A145" s="1">
        <v>43696</v>
      </c>
      <c r="B145" s="21">
        <v>140.50015085714287</v>
      </c>
      <c r="C145" s="11">
        <v>136.49117647058824</v>
      </c>
      <c r="D145" s="11">
        <v>120.711094</v>
      </c>
      <c r="E145">
        <v>148.01280828649922</v>
      </c>
    </row>
    <row r="146" spans="1:5">
      <c r="A146" s="1">
        <v>43697</v>
      </c>
      <c r="B146" s="21">
        <v>132.94705874285717</v>
      </c>
      <c r="C146" s="11">
        <v>135.365726</v>
      </c>
      <c r="D146" s="11">
        <v>116.629274</v>
      </c>
      <c r="E146">
        <v>147.9644492257014</v>
      </c>
    </row>
    <row r="147" spans="1:5">
      <c r="A147" s="1">
        <v>43698</v>
      </c>
      <c r="B147" s="21">
        <v>158.16716965517242</v>
      </c>
      <c r="C147" s="11">
        <v>140.0693</v>
      </c>
      <c r="D147" s="11">
        <v>116.537458</v>
      </c>
      <c r="E147">
        <v>146.91436022559927</v>
      </c>
    </row>
    <row r="148" spans="1:5">
      <c r="A148" s="1">
        <v>43699</v>
      </c>
      <c r="B148" s="21">
        <v>138.59</v>
      </c>
      <c r="C148" s="11">
        <v>134.86438332631579</v>
      </c>
      <c r="D148" s="11">
        <v>114.22209799999999</v>
      </c>
      <c r="E148">
        <v>147.74394104619697</v>
      </c>
    </row>
    <row r="149" spans="1:5">
      <c r="A149" s="1">
        <v>43700</v>
      </c>
      <c r="B149" s="21">
        <v>140.28200000000001</v>
      </c>
      <c r="C149" s="11">
        <v>126.49681515789473</v>
      </c>
      <c r="D149" s="11">
        <v>118.73884640000001</v>
      </c>
      <c r="E149">
        <v>147.33094255280122</v>
      </c>
    </row>
    <row r="150" spans="1:5">
      <c r="A150" s="1">
        <v>43701</v>
      </c>
      <c r="B150" s="21">
        <v>148.46299999999999</v>
      </c>
      <c r="C150" s="11">
        <v>124.57356237362637</v>
      </c>
      <c r="D150" s="11">
        <v>120.14123600000001</v>
      </c>
      <c r="E150">
        <v>145.24451646855701</v>
      </c>
    </row>
    <row r="151" spans="1:5">
      <c r="A151" s="1">
        <v>43702</v>
      </c>
      <c r="B151" s="21">
        <v>146.75</v>
      </c>
      <c r="C151" s="11">
        <v>130.660156</v>
      </c>
      <c r="D151" s="11">
        <v>111.79296599999999</v>
      </c>
      <c r="E151">
        <v>146.43817979839815</v>
      </c>
    </row>
    <row r="152" spans="1:5">
      <c r="A152" s="1">
        <v>43703</v>
      </c>
      <c r="B152" s="21">
        <v>158.03</v>
      </c>
      <c r="C152" s="11">
        <v>123.16118400000001</v>
      </c>
      <c r="D152" s="11">
        <v>128.18312</v>
      </c>
      <c r="E152">
        <v>147.19819367419927</v>
      </c>
    </row>
    <row r="153" spans="1:5">
      <c r="A153" s="1">
        <v>43704</v>
      </c>
      <c r="B153" s="21">
        <v>140.07</v>
      </c>
      <c r="C153" s="11">
        <v>144.86012537704917</v>
      </c>
      <c r="D153" s="11">
        <v>131.889692</v>
      </c>
      <c r="E153">
        <v>146.54865356760101</v>
      </c>
    </row>
    <row r="154" spans="1:5">
      <c r="A154" s="1">
        <v>43705</v>
      </c>
      <c r="B154" s="21">
        <v>150.30000000000001</v>
      </c>
      <c r="C154" s="11">
        <v>129.59928200000002</v>
      </c>
      <c r="D154" s="11">
        <v>134.57630800000001</v>
      </c>
      <c r="E154">
        <v>148.17054608069733</v>
      </c>
    </row>
    <row r="155" spans="1:5">
      <c r="A155" s="1">
        <v>43706</v>
      </c>
      <c r="B155" s="21">
        <v>148.01</v>
      </c>
      <c r="C155" s="11">
        <v>132.90964799999998</v>
      </c>
      <c r="D155" s="11">
        <v>142.134162</v>
      </c>
      <c r="E155">
        <v>146.48338589600473</v>
      </c>
    </row>
    <row r="156" spans="1:5">
      <c r="A156" s="1">
        <v>43707</v>
      </c>
      <c r="B156" s="21">
        <v>142.88999999999999</v>
      </c>
      <c r="C156" s="11">
        <v>123.94110417977527</v>
      </c>
      <c r="D156" s="11">
        <v>132.247974</v>
      </c>
      <c r="E156">
        <v>146.78542576259747</v>
      </c>
    </row>
    <row r="157" spans="1:5">
      <c r="A157" s="1">
        <v>43708</v>
      </c>
      <c r="B157" s="21">
        <v>146.831748</v>
      </c>
      <c r="C157" s="11">
        <v>129.61724600000002</v>
      </c>
      <c r="D157" s="11">
        <v>115.150238</v>
      </c>
      <c r="E157" s="11">
        <v>143.82467193482717</v>
      </c>
    </row>
    <row r="158" spans="1:5">
      <c r="A158" s="1">
        <v>43709</v>
      </c>
      <c r="B158" s="21">
        <v>142.1</v>
      </c>
      <c r="C158" s="11">
        <v>124.1974231578947</v>
      </c>
      <c r="D158" s="11">
        <v>126.04375513043479</v>
      </c>
      <c r="E158" s="11">
        <v>147.27539769099653</v>
      </c>
    </row>
    <row r="159" spans="1:5">
      <c r="A159" s="1">
        <v>43710</v>
      </c>
      <c r="B159" s="21">
        <v>137.33378200000001</v>
      </c>
      <c r="C159" s="11">
        <v>135.926602</v>
      </c>
      <c r="D159" s="11">
        <v>115.48357</v>
      </c>
      <c r="E159" s="11">
        <v>148.75472817130387</v>
      </c>
    </row>
    <row r="160" spans="1:5">
      <c r="A160" s="1">
        <v>43711</v>
      </c>
      <c r="B160" s="21">
        <v>137.16512</v>
      </c>
      <c r="C160" s="11">
        <v>132.35991193401094</v>
      </c>
      <c r="D160" s="11">
        <v>123.13922799999999</v>
      </c>
      <c r="E160" s="11">
        <v>148.48936230849847</v>
      </c>
    </row>
    <row r="161" spans="1:5">
      <c r="A161" s="1">
        <v>43712</v>
      </c>
      <c r="B161" s="21">
        <v>142.55931000000001</v>
      </c>
      <c r="C161" s="11">
        <v>130.24399</v>
      </c>
      <c r="D161" s="11">
        <v>123.942618</v>
      </c>
      <c r="E161" s="11">
        <v>147.68416034650056</v>
      </c>
    </row>
    <row r="162" spans="1:5">
      <c r="A162" s="1">
        <v>43713</v>
      </c>
      <c r="B162" s="21">
        <v>147.786834</v>
      </c>
      <c r="C162" s="11">
        <v>137.19206600000001</v>
      </c>
      <c r="D162" s="11">
        <v>143.00342000000001</v>
      </c>
      <c r="E162" s="11">
        <v>147.5255108080022</v>
      </c>
    </row>
    <row r="163" spans="1:5">
      <c r="A163" s="1">
        <v>43714</v>
      </c>
      <c r="B163" s="21">
        <v>142.32599999999999</v>
      </c>
      <c r="C163" s="11">
        <v>134.961536</v>
      </c>
      <c r="D163" s="11">
        <v>121.29</v>
      </c>
      <c r="E163" s="11">
        <v>148.52260498249905</v>
      </c>
    </row>
    <row r="164" spans="1:5">
      <c r="A164" s="1">
        <v>43715</v>
      </c>
      <c r="B164" s="21">
        <v>153.03</v>
      </c>
      <c r="C164" s="11">
        <v>121.555402</v>
      </c>
      <c r="D164" s="11">
        <v>124.980538</v>
      </c>
      <c r="E164" s="11">
        <v>147.12076072320002</v>
      </c>
    </row>
    <row r="165" spans="1:5">
      <c r="A165" s="1">
        <v>43716</v>
      </c>
      <c r="B165" s="21">
        <v>143</v>
      </c>
      <c r="C165" s="11">
        <v>136.6</v>
      </c>
      <c r="D165" s="11">
        <v>131.15875680000002</v>
      </c>
      <c r="E165" s="11">
        <v>147.08059502460063</v>
      </c>
    </row>
    <row r="166" spans="1:5">
      <c r="A166" s="1">
        <v>43717</v>
      </c>
      <c r="B166" s="22">
        <v>137.523402</v>
      </c>
      <c r="C166" s="11">
        <v>144.13725143953934</v>
      </c>
      <c r="D166" s="11">
        <v>134.557346</v>
      </c>
      <c r="E166" s="11">
        <v>146.43885937409848</v>
      </c>
    </row>
    <row r="167" spans="1:5">
      <c r="A167" s="1">
        <v>43718</v>
      </c>
      <c r="B167" s="21">
        <v>148.79680999999999</v>
      </c>
      <c r="C167" s="11">
        <v>133.89106426735219</v>
      </c>
      <c r="D167" s="11">
        <v>133.686092</v>
      </c>
      <c r="E167" s="11">
        <v>148.1380850034021</v>
      </c>
    </row>
    <row r="168" spans="1:5">
      <c r="A168" s="1">
        <v>43719</v>
      </c>
      <c r="B168" s="21">
        <v>140.56530600000002</v>
      </c>
      <c r="C168" s="11">
        <v>127.94958799999999</v>
      </c>
      <c r="D168" s="11">
        <v>128.79289799999998</v>
      </c>
      <c r="E168" s="11">
        <v>143.2749905031994</v>
      </c>
    </row>
    <row r="169" spans="1:5">
      <c r="A169" s="1">
        <v>43720</v>
      </c>
      <c r="B169" s="21">
        <v>140.02500000000001</v>
      </c>
      <c r="C169" s="11">
        <v>129.73201599999999</v>
      </c>
      <c r="D169" s="11">
        <v>126.97</v>
      </c>
      <c r="E169" s="11">
        <v>146.80796500504411</v>
      </c>
    </row>
    <row r="170" spans="1:5">
      <c r="A170" s="1">
        <v>43721</v>
      </c>
      <c r="B170" s="21">
        <v>147.63</v>
      </c>
      <c r="C170" s="12">
        <v>134.66439234782607</v>
      </c>
      <c r="D170" s="11">
        <v>130.9</v>
      </c>
      <c r="E170" s="11">
        <v>145.30514806776395</v>
      </c>
    </row>
    <row r="171" spans="1:5">
      <c r="A171" s="1">
        <v>43722</v>
      </c>
      <c r="B171" s="21">
        <v>150.22999999999999</v>
      </c>
      <c r="C171" s="12">
        <v>122.34</v>
      </c>
      <c r="D171" s="11">
        <v>127.25153236363637</v>
      </c>
      <c r="E171" s="11">
        <v>142.71270144315781</v>
      </c>
    </row>
    <row r="172" spans="1:5">
      <c r="A172" s="1">
        <v>43723</v>
      </c>
      <c r="B172" s="21">
        <v>132.383702</v>
      </c>
      <c r="C172" s="12">
        <v>128.53</v>
      </c>
      <c r="D172" s="11">
        <v>128.90966399999999</v>
      </c>
      <c r="E172" s="11">
        <v>147.34160107339918</v>
      </c>
    </row>
    <row r="173" spans="1:5">
      <c r="A173" s="1">
        <v>43724</v>
      </c>
      <c r="B173" s="21">
        <v>140.28899999999999</v>
      </c>
      <c r="C173" s="12">
        <v>128.22403800000001</v>
      </c>
      <c r="D173" s="11">
        <v>136.08029400000001</v>
      </c>
      <c r="E173" s="11">
        <v>148.15376869780198</v>
      </c>
    </row>
    <row r="174" spans="1:5">
      <c r="A174" s="1">
        <v>43725</v>
      </c>
      <c r="B174" s="21">
        <v>142.061308</v>
      </c>
      <c r="C174" s="12">
        <v>127.87773199999998</v>
      </c>
      <c r="D174" s="11">
        <v>135.39366999999999</v>
      </c>
      <c r="E174" s="11">
        <v>147.78995874659716</v>
      </c>
    </row>
    <row r="175" spans="1:5">
      <c r="A175" s="1">
        <v>43726</v>
      </c>
      <c r="B175" s="21">
        <v>142.248932</v>
      </c>
      <c r="C175" s="12">
        <v>128.613258</v>
      </c>
      <c r="D175" s="11">
        <v>119.02</v>
      </c>
      <c r="E175" s="11">
        <v>147.32703268539905</v>
      </c>
    </row>
    <row r="176" spans="1:5">
      <c r="A176" s="1">
        <v>43727</v>
      </c>
      <c r="B176" s="21">
        <v>146.315</v>
      </c>
      <c r="C176" s="12">
        <v>132.62521799999999</v>
      </c>
      <c r="D176" s="11">
        <v>140.384668</v>
      </c>
      <c r="E176" s="11">
        <v>147.53894103639945</v>
      </c>
    </row>
    <row r="177" spans="1:5">
      <c r="A177" s="1">
        <v>43728</v>
      </c>
      <c r="B177" s="21">
        <v>148.22</v>
      </c>
      <c r="C177" s="12">
        <v>125.460576</v>
      </c>
      <c r="D177" s="11">
        <v>140.87</v>
      </c>
      <c r="E177" s="11">
        <v>147.53422165400161</v>
      </c>
    </row>
    <row r="178" spans="1:5">
      <c r="A178" s="1">
        <v>43729</v>
      </c>
      <c r="B178" s="21">
        <v>143.87</v>
      </c>
      <c r="C178" s="12">
        <v>124.936626</v>
      </c>
      <c r="D178" s="11">
        <v>135.496464</v>
      </c>
      <c r="E178" s="11">
        <v>148.0553263737622</v>
      </c>
    </row>
    <row r="179" spans="1:5">
      <c r="A179" s="1">
        <v>43730</v>
      </c>
      <c r="B179" s="21">
        <v>146.511</v>
      </c>
      <c r="C179" s="12">
        <v>130.01245399999999</v>
      </c>
      <c r="D179" s="11">
        <v>142.6617048</v>
      </c>
      <c r="E179" s="11">
        <v>147.73512144019827</v>
      </c>
    </row>
    <row r="180" spans="1:5">
      <c r="A180" s="1">
        <v>43731</v>
      </c>
      <c r="B180" s="21">
        <v>149.01599999999999</v>
      </c>
      <c r="C180" s="12">
        <v>128.12723199999999</v>
      </c>
      <c r="D180" s="11">
        <v>133.0334</v>
      </c>
      <c r="E180" s="11">
        <v>147.65753503429889</v>
      </c>
    </row>
    <row r="181" spans="1:5">
      <c r="A181" s="1">
        <v>43732</v>
      </c>
      <c r="B181" s="21">
        <v>143.70575165217392</v>
      </c>
      <c r="C181" s="12">
        <v>136.333786</v>
      </c>
      <c r="D181" s="11">
        <v>141.70103</v>
      </c>
      <c r="E181" s="11">
        <v>148.0890441869013</v>
      </c>
    </row>
    <row r="182" spans="1:5">
      <c r="A182" s="1">
        <v>43733</v>
      </c>
      <c r="B182" s="21">
        <v>142.91679360000001</v>
      </c>
      <c r="C182" s="12">
        <v>114.03148</v>
      </c>
      <c r="D182" s="11">
        <v>143.68705</v>
      </c>
      <c r="E182" s="11">
        <v>147.54908820030093</v>
      </c>
    </row>
    <row r="183" spans="1:5">
      <c r="A183" s="1">
        <v>43734</v>
      </c>
      <c r="B183" s="21">
        <v>146.06</v>
      </c>
      <c r="C183" s="12">
        <v>128.122242</v>
      </c>
      <c r="D183" s="11">
        <v>142.52737399999998</v>
      </c>
      <c r="E183" s="11">
        <v>145.5182164663002</v>
      </c>
    </row>
    <row r="184" spans="1:5">
      <c r="A184" s="1">
        <v>43735</v>
      </c>
      <c r="B184" s="21">
        <v>145.17099999999999</v>
      </c>
      <c r="C184" s="12">
        <v>132.72302200000001</v>
      </c>
      <c r="D184" s="11">
        <v>140.03</v>
      </c>
      <c r="E184" s="11">
        <v>145.5607507453002</v>
      </c>
    </row>
    <row r="185" spans="1:5">
      <c r="A185" s="1">
        <v>43736</v>
      </c>
      <c r="B185" s="21">
        <v>145.43855115776401</v>
      </c>
      <c r="C185" s="12">
        <v>133.2101617554859</v>
      </c>
      <c r="D185" s="11">
        <v>142.07128799999998</v>
      </c>
      <c r="E185" s="11">
        <v>143.40631424992083</v>
      </c>
    </row>
    <row r="186" spans="1:5">
      <c r="A186" s="1">
        <v>43737</v>
      </c>
      <c r="B186" s="21">
        <v>142.45053915776401</v>
      </c>
      <c r="C186" s="12">
        <v>141.56453504823151</v>
      </c>
      <c r="D186" s="11">
        <v>139.671098</v>
      </c>
      <c r="E186" s="11">
        <v>145.78412390600144</v>
      </c>
    </row>
    <row r="187" spans="1:5">
      <c r="A187" s="1">
        <v>43738</v>
      </c>
      <c r="B187" s="21">
        <v>144.9</v>
      </c>
      <c r="C187" s="12">
        <v>125.36556879554223</v>
      </c>
      <c r="D187" s="11">
        <v>145.93753999999998</v>
      </c>
      <c r="E187" s="11">
        <v>145.14949186099693</v>
      </c>
    </row>
    <row r="188" spans="1:5">
      <c r="A188" s="1">
        <v>43739</v>
      </c>
      <c r="B188" s="21">
        <v>143.9</v>
      </c>
      <c r="C188" s="12">
        <v>123.837828</v>
      </c>
      <c r="D188" s="11">
        <v>140.07029800000001</v>
      </c>
      <c r="E188" s="11">
        <v>146.4864365794094</v>
      </c>
    </row>
    <row r="189" spans="1:5">
      <c r="A189" s="1">
        <v>43740</v>
      </c>
      <c r="B189" s="21">
        <v>139.80000000000001</v>
      </c>
      <c r="C189" s="12">
        <v>124.662176</v>
      </c>
      <c r="D189" s="11">
        <v>127.63395965217393</v>
      </c>
      <c r="E189" s="11">
        <v>144.0524341538316</v>
      </c>
    </row>
    <row r="190" spans="1:5">
      <c r="A190" s="1">
        <v>43741</v>
      </c>
      <c r="B190" s="21">
        <v>151.91755600000002</v>
      </c>
      <c r="C190" s="12">
        <v>129.741996</v>
      </c>
      <c r="D190" s="11">
        <v>134.534392</v>
      </c>
      <c r="E190" s="11">
        <v>146.43895968160405</v>
      </c>
    </row>
    <row r="191" spans="1:5">
      <c r="A191" s="1">
        <v>43742</v>
      </c>
      <c r="B191" s="21">
        <v>148.14882285714287</v>
      </c>
      <c r="C191" s="12">
        <v>131.171132</v>
      </c>
      <c r="D191" s="11">
        <v>145.41</v>
      </c>
      <c r="E191" s="11">
        <v>143.91850129729508</v>
      </c>
    </row>
    <row r="192" spans="1:5">
      <c r="A192" s="1">
        <v>43743</v>
      </c>
      <c r="B192" s="21">
        <v>148.67804799999999</v>
      </c>
      <c r="C192" s="12">
        <v>130.49151523404257</v>
      </c>
      <c r="D192" s="11">
        <v>137.41162600000001</v>
      </c>
      <c r="E192" s="11">
        <v>146.41824112699535</v>
      </c>
    </row>
    <row r="193" spans="1:5">
      <c r="A193" s="1">
        <v>43744</v>
      </c>
      <c r="B193" s="21">
        <v>136.53</v>
      </c>
      <c r="C193" s="12">
        <v>130.54239200000001</v>
      </c>
      <c r="D193" s="11">
        <v>134.73199600000001</v>
      </c>
      <c r="E193" s="11">
        <v>145.04124486249685</v>
      </c>
    </row>
    <row r="194" spans="1:5">
      <c r="A194" s="1">
        <v>43745</v>
      </c>
      <c r="B194" s="21">
        <v>147.08000000000001</v>
      </c>
      <c r="C194" s="12">
        <v>140.384668</v>
      </c>
      <c r="D194" s="11">
        <v>123.684136</v>
      </c>
      <c r="E194" s="11">
        <v>146.1720792738013</v>
      </c>
    </row>
    <row r="195" spans="1:5">
      <c r="A195" s="1">
        <v>43746</v>
      </c>
      <c r="B195" s="21">
        <v>142.956514</v>
      </c>
      <c r="C195" s="12">
        <v>132.67112600000002</v>
      </c>
      <c r="D195" s="11">
        <v>125.84779999999999</v>
      </c>
      <c r="E195" s="11">
        <v>145.19523484589905</v>
      </c>
    </row>
    <row r="196" spans="1:5">
      <c r="A196" s="1">
        <v>43747</v>
      </c>
      <c r="B196" s="21">
        <v>136.97690144680851</v>
      </c>
      <c r="C196" s="12">
        <v>135.61223199999998</v>
      </c>
      <c r="D196" s="11">
        <v>128.94958399999999</v>
      </c>
      <c r="E196" s="11">
        <v>146.12824508710204</v>
      </c>
    </row>
    <row r="197" spans="1:5">
      <c r="A197" s="1">
        <v>43748</v>
      </c>
      <c r="B197" s="21">
        <v>146.94</v>
      </c>
      <c r="C197" s="12">
        <v>137.75892999999999</v>
      </c>
      <c r="D197" s="11">
        <v>109.87</v>
      </c>
      <c r="E197" s="11">
        <v>145.0516146101989</v>
      </c>
    </row>
    <row r="198" spans="1:5">
      <c r="A198" s="1">
        <v>43749</v>
      </c>
      <c r="B198" s="21">
        <v>140.09</v>
      </c>
      <c r="C198" s="12">
        <v>137.51342199999999</v>
      </c>
      <c r="D198" s="11">
        <v>68.55</v>
      </c>
      <c r="E198" s="11">
        <v>146.4240841150023</v>
      </c>
    </row>
    <row r="199" spans="1:5">
      <c r="A199" s="1">
        <v>43750</v>
      </c>
      <c r="B199" s="21">
        <v>141.69</v>
      </c>
      <c r="C199" s="12">
        <v>134.791876</v>
      </c>
      <c r="D199" s="11">
        <v>72.245220000000003</v>
      </c>
      <c r="E199" s="11">
        <v>143.57520786880235</v>
      </c>
    </row>
    <row r="200" spans="1:5">
      <c r="A200" s="1">
        <v>43751</v>
      </c>
      <c r="B200" s="21">
        <v>140.64814000000001</v>
      </c>
      <c r="C200" s="12">
        <v>133.169128</v>
      </c>
      <c r="D200" s="11">
        <v>71.365504695652163</v>
      </c>
      <c r="E200" s="11">
        <v>146.09794828420132</v>
      </c>
    </row>
    <row r="201" spans="1:5">
      <c r="A201" s="1">
        <v>43752</v>
      </c>
      <c r="B201" s="21">
        <v>147.54</v>
      </c>
      <c r="C201" s="12">
        <v>127.79290200000001</v>
      </c>
      <c r="D201" s="11">
        <v>112.774</v>
      </c>
      <c r="E201" s="11">
        <v>144.73205629914938</v>
      </c>
    </row>
    <row r="202" spans="1:5">
      <c r="A202" s="1">
        <v>43753</v>
      </c>
      <c r="B202" s="21">
        <v>137.92060599999999</v>
      </c>
      <c r="C202" s="12">
        <v>121.35081199999999</v>
      </c>
      <c r="D202" s="11">
        <v>126.62324599999999</v>
      </c>
      <c r="E202" s="11">
        <v>143.85422403080017</v>
      </c>
    </row>
    <row r="203" spans="1:5">
      <c r="A203" s="1">
        <v>43754</v>
      </c>
      <c r="B203" s="21">
        <v>138.04835</v>
      </c>
      <c r="C203" s="12">
        <v>139.39465200000001</v>
      </c>
      <c r="D203" s="11">
        <v>119.118286</v>
      </c>
      <c r="E203" s="11">
        <v>144.60771902620047</v>
      </c>
    </row>
    <row r="204" spans="1:5">
      <c r="A204" s="1">
        <v>43755</v>
      </c>
      <c r="B204" s="21">
        <v>145.92257000000001</v>
      </c>
      <c r="C204" s="12">
        <v>137.739968</v>
      </c>
      <c r="D204" s="11">
        <v>120.953608</v>
      </c>
      <c r="E204" s="11">
        <v>145.71591538199783</v>
      </c>
    </row>
    <row r="205" spans="1:5">
      <c r="A205" s="1">
        <v>43756</v>
      </c>
      <c r="B205" s="21">
        <v>142.91</v>
      </c>
      <c r="C205" s="12">
        <v>130.65815999999998</v>
      </c>
      <c r="D205" s="11">
        <v>131.47999999999999</v>
      </c>
      <c r="E205" s="11">
        <v>147.42836796779932</v>
      </c>
    </row>
    <row r="206" spans="1:5">
      <c r="A206" s="1">
        <v>43757</v>
      </c>
      <c r="B206" s="21">
        <v>140.075288</v>
      </c>
      <c r="C206" s="12">
        <v>128.639206</v>
      </c>
      <c r="D206" s="11">
        <v>129.08759314285714</v>
      </c>
      <c r="E206" s="11">
        <v>141.02487523130327</v>
      </c>
    </row>
    <row r="207" spans="1:5">
      <c r="A207" s="1">
        <v>43758</v>
      </c>
      <c r="B207" s="21">
        <v>145.46049600000001</v>
      </c>
      <c r="C207" s="12">
        <v>114.00553199999999</v>
      </c>
      <c r="D207" s="11">
        <v>126.909672</v>
      </c>
      <c r="E207" s="11">
        <v>145.08394951279462</v>
      </c>
    </row>
    <row r="208" spans="1:5">
      <c r="A208" s="1">
        <v>43759</v>
      </c>
      <c r="B208" s="21">
        <v>143.71</v>
      </c>
      <c r="C208" s="23">
        <v>128.51160457142859</v>
      </c>
      <c r="D208" s="11">
        <v>120.15387733333331</v>
      </c>
      <c r="E208" s="11">
        <v>144.05161832600459</v>
      </c>
    </row>
    <row r="209" spans="1:5">
      <c r="A209" s="1">
        <v>43760</v>
      </c>
      <c r="B209" s="21">
        <v>142.759908</v>
      </c>
      <c r="C209" s="23">
        <v>128.51160457142859</v>
      </c>
      <c r="D209" s="11">
        <v>111.949652</v>
      </c>
      <c r="E209" s="11">
        <v>144.8080007029958</v>
      </c>
    </row>
    <row r="210" spans="1:5">
      <c r="A210" s="1">
        <v>43761</v>
      </c>
      <c r="B210" s="21">
        <v>147.73992799999999</v>
      </c>
      <c r="C210" s="12">
        <v>137.61122599999999</v>
      </c>
      <c r="D210" s="11">
        <v>126.32983400000001</v>
      </c>
      <c r="E210" s="11">
        <v>143.58750039010494</v>
      </c>
    </row>
    <row r="211" spans="1:5">
      <c r="A211" s="1">
        <v>43762</v>
      </c>
      <c r="B211" s="21">
        <v>139.75692599999999</v>
      </c>
      <c r="C211" s="12">
        <v>120.954606</v>
      </c>
      <c r="D211" s="11">
        <v>143.34473600000001</v>
      </c>
      <c r="E211" s="11">
        <v>144.12845746599882</v>
      </c>
    </row>
    <row r="212" spans="1:5">
      <c r="A212" s="1">
        <v>43763</v>
      </c>
      <c r="B212" s="21">
        <v>140.55632399999999</v>
      </c>
      <c r="C212" s="12">
        <v>133.783896</v>
      </c>
      <c r="D212" s="11">
        <v>137.88</v>
      </c>
      <c r="E212" s="11">
        <v>145.512</v>
      </c>
    </row>
    <row r="213" spans="1:5">
      <c r="A213" s="1">
        <v>43764</v>
      </c>
      <c r="B213" s="21">
        <v>147.08124800000002</v>
      </c>
      <c r="C213" s="12">
        <v>132.46553799999998</v>
      </c>
      <c r="D213" s="11">
        <v>119.49054000000001</v>
      </c>
      <c r="E213" s="11">
        <v>140.7911489361702</v>
      </c>
    </row>
    <row r="214" spans="1:5">
      <c r="A214" s="1">
        <v>43765</v>
      </c>
      <c r="B214" s="21">
        <v>143.41160200000002</v>
      </c>
      <c r="C214" s="12">
        <v>139.108226</v>
      </c>
      <c r="D214" s="11">
        <v>110.79466226086956</v>
      </c>
      <c r="E214" s="11">
        <v>145.01900000000001</v>
      </c>
    </row>
    <row r="215" spans="1:5">
      <c r="A215" s="1">
        <v>43766</v>
      </c>
      <c r="B215" s="21">
        <v>143.143</v>
      </c>
      <c r="C215" s="12">
        <v>125.54740200000001</v>
      </c>
      <c r="D215" s="11">
        <v>132.63020799999998</v>
      </c>
      <c r="E215" s="11">
        <v>142.56762631939725</v>
      </c>
    </row>
    <row r="216" spans="1:5">
      <c r="A216" s="1">
        <v>43767</v>
      </c>
      <c r="B216" s="21">
        <v>141.98546000000002</v>
      </c>
      <c r="C216" s="12">
        <v>128.51645199999999</v>
      </c>
      <c r="D216" s="11">
        <v>125.28</v>
      </c>
      <c r="E216" s="11">
        <v>143.10068303729966</v>
      </c>
    </row>
    <row r="217" spans="1:5">
      <c r="A217" s="1">
        <v>43768</v>
      </c>
      <c r="B217" s="21">
        <v>140.44055600000002</v>
      </c>
      <c r="C217" s="12">
        <v>129.790898</v>
      </c>
      <c r="D217" s="11">
        <v>125.34381</v>
      </c>
      <c r="E217" s="11">
        <v>142.84853027130291</v>
      </c>
    </row>
    <row r="218" spans="1:5">
      <c r="A218" s="1">
        <v>43769</v>
      </c>
      <c r="B218" s="21">
        <v>145.84472600000001</v>
      </c>
      <c r="C218" s="12">
        <v>122.603302</v>
      </c>
      <c r="D218" s="11">
        <v>131.80785600000002</v>
      </c>
      <c r="E218" s="11">
        <v>143.1167008283995</v>
      </c>
    </row>
    <row r="219" spans="1:5">
      <c r="A219" s="1">
        <v>43770</v>
      </c>
      <c r="B219" s="21">
        <v>125.625246</v>
      </c>
      <c r="C219" s="12">
        <v>119.18714800000001</v>
      </c>
      <c r="D219" s="11">
        <v>125.11</v>
      </c>
      <c r="E219" s="11">
        <v>142.62349649110064</v>
      </c>
    </row>
    <row r="220" spans="1:5">
      <c r="A220" s="1">
        <v>43771</v>
      </c>
      <c r="B220" s="21">
        <v>137.066318</v>
      </c>
      <c r="C220" s="12">
        <v>116.89573999999999</v>
      </c>
      <c r="D220" s="11">
        <v>119.49752599999999</v>
      </c>
      <c r="E220" s="11">
        <v>142.37039327379688</v>
      </c>
    </row>
    <row r="221" spans="1:5">
      <c r="A221" s="1">
        <v>43772</v>
      </c>
      <c r="B221" s="21">
        <v>142.78</v>
      </c>
      <c r="C221" s="12">
        <v>124.85578799999999</v>
      </c>
      <c r="D221" s="11">
        <v>133.93758799999998</v>
      </c>
      <c r="E221" s="11">
        <v>145.2148894257584</v>
      </c>
    </row>
    <row r="222" spans="1:5">
      <c r="A222" s="1">
        <v>43773</v>
      </c>
      <c r="B222" s="21">
        <v>137.68</v>
      </c>
      <c r="C222" s="12">
        <v>129.48351399999999</v>
      </c>
      <c r="D222" s="11">
        <v>145.494428</v>
      </c>
      <c r="E222" s="11">
        <v>141.14321972820161</v>
      </c>
    </row>
    <row r="223" spans="1:5">
      <c r="A223" s="1">
        <v>43774</v>
      </c>
      <c r="B223" s="21">
        <v>133.590284</v>
      </c>
      <c r="C223" s="12">
        <v>123.553398</v>
      </c>
      <c r="D223" s="11">
        <v>141.91859400000001</v>
      </c>
      <c r="E223" s="11">
        <v>141.15649979979918</v>
      </c>
    </row>
    <row r="224" spans="1:5">
      <c r="A224" s="1">
        <v>43775</v>
      </c>
      <c r="B224" s="21">
        <v>137.82180400000001</v>
      </c>
      <c r="C224" s="12">
        <v>119.68514999999999</v>
      </c>
      <c r="D224" s="11">
        <v>133.43858799999998</v>
      </c>
      <c r="E224" s="11">
        <v>141.18105877760053</v>
      </c>
    </row>
    <row r="225" spans="1:5">
      <c r="A225" s="1">
        <v>43776</v>
      </c>
      <c r="B225" s="21">
        <v>151.37364600000001</v>
      </c>
      <c r="C225" s="12">
        <v>118.839844</v>
      </c>
      <c r="D225" s="11">
        <v>136.15015400000001</v>
      </c>
      <c r="E225" s="11">
        <v>144.14018646770973</v>
      </c>
    </row>
    <row r="226" spans="1:5">
      <c r="A226" s="1">
        <v>43777</v>
      </c>
      <c r="B226" s="21">
        <v>136.72</v>
      </c>
      <c r="C226" s="12">
        <v>120.44861999999999</v>
      </c>
      <c r="D226" s="11">
        <v>128.84</v>
      </c>
      <c r="E226" s="11">
        <v>141.47531361110137</v>
      </c>
    </row>
    <row r="227" spans="1:5">
      <c r="A227" s="1">
        <v>43778</v>
      </c>
      <c r="B227" s="21">
        <v>138.02500000000001</v>
      </c>
      <c r="C227" s="12">
        <v>111.71811599999999</v>
      </c>
      <c r="D227" s="11">
        <v>131.96354400000001</v>
      </c>
      <c r="E227" s="11">
        <v>140.93395006883756</v>
      </c>
    </row>
    <row r="228" spans="1:5">
      <c r="A228" s="1">
        <v>43779</v>
      </c>
      <c r="B228" s="21">
        <v>140.61919800000001</v>
      </c>
      <c r="C228" s="12">
        <v>110.529498</v>
      </c>
      <c r="D228" s="11">
        <v>122.30789399999999</v>
      </c>
      <c r="E228" s="11">
        <v>141.44607484329865</v>
      </c>
    </row>
    <row r="229" spans="1:5">
      <c r="A229" s="1">
        <v>43780</v>
      </c>
      <c r="B229" s="21">
        <v>145.565</v>
      </c>
      <c r="C229" s="12">
        <v>115.98756</v>
      </c>
      <c r="D229" s="11">
        <v>122.41</v>
      </c>
      <c r="E229" s="11">
        <v>143.81410663720592</v>
      </c>
    </row>
    <row r="230" spans="1:5">
      <c r="A230" s="1">
        <v>43781</v>
      </c>
      <c r="B230" s="21">
        <v>142.90661400000002</v>
      </c>
      <c r="C230" s="12">
        <v>129.519442</v>
      </c>
      <c r="D230" s="11">
        <v>107.44467999999999</v>
      </c>
      <c r="E230" s="11">
        <v>141.76149820699544</v>
      </c>
    </row>
    <row r="231" spans="1:5">
      <c r="A231" s="1">
        <v>43782</v>
      </c>
      <c r="B231" s="21">
        <v>141.51768774193548</v>
      </c>
      <c r="C231" s="12">
        <v>116.700132</v>
      </c>
      <c r="D231" s="11">
        <v>126.61725799999999</v>
      </c>
      <c r="E231" s="11">
        <v>140.31622189860045</v>
      </c>
    </row>
    <row r="232" spans="1:5">
      <c r="A232" s="1">
        <v>43783</v>
      </c>
      <c r="B232" s="21">
        <v>147.252904</v>
      </c>
      <c r="C232" s="12">
        <v>118.55741</v>
      </c>
      <c r="D232" s="11">
        <v>142.28</v>
      </c>
      <c r="E232" s="11">
        <v>142.60946519960092</v>
      </c>
    </row>
    <row r="233" spans="1:5">
      <c r="A233" s="1">
        <v>43784</v>
      </c>
      <c r="B233" s="21">
        <v>135.859736</v>
      </c>
      <c r="C233" s="12">
        <v>132.591286</v>
      </c>
      <c r="D233" s="11">
        <v>137.46</v>
      </c>
      <c r="E233" s="11">
        <v>142.89895044400171</v>
      </c>
    </row>
    <row r="234" spans="1:5">
      <c r="A234" s="1">
        <v>43785</v>
      </c>
      <c r="B234" s="21">
        <v>141.45652000000001</v>
      </c>
      <c r="C234" s="12">
        <v>126.49151000000001</v>
      </c>
      <c r="D234" s="11">
        <v>124.69311399999999</v>
      </c>
      <c r="E234" s="11">
        <v>143.6578791722516</v>
      </c>
    </row>
    <row r="235" spans="1:5">
      <c r="A235" s="1">
        <v>43786</v>
      </c>
      <c r="B235" s="21">
        <v>135.76991599999999</v>
      </c>
      <c r="C235" s="12">
        <v>111.332888</v>
      </c>
      <c r="D235" s="11">
        <v>123.889724</v>
      </c>
      <c r="E235" s="11">
        <v>142.45885473500192</v>
      </c>
    </row>
    <row r="236" spans="1:5">
      <c r="A236" s="1">
        <v>43787</v>
      </c>
      <c r="B236" s="21">
        <v>134.62899999999999</v>
      </c>
      <c r="C236" s="12">
        <v>121.936638</v>
      </c>
      <c r="D236" s="11">
        <v>131.56534200000002</v>
      </c>
      <c r="E236" s="11">
        <v>140.77779577880352</v>
      </c>
    </row>
    <row r="237" spans="1:5">
      <c r="A237" s="1">
        <v>43788</v>
      </c>
      <c r="B237" s="21">
        <v>142.771884</v>
      </c>
      <c r="C237" s="12">
        <v>126.56635999999999</v>
      </c>
      <c r="D237" s="11">
        <v>111.29140591304348</v>
      </c>
      <c r="E237" s="11">
        <v>142.07544265469537</v>
      </c>
    </row>
    <row r="238" spans="1:5">
      <c r="A238" s="1">
        <v>43789</v>
      </c>
      <c r="B238" s="21">
        <v>127.78292199999999</v>
      </c>
      <c r="C238" s="12">
        <v>111.148258</v>
      </c>
      <c r="D238" s="11">
        <v>126.683126</v>
      </c>
      <c r="E238" s="11">
        <v>143.30250658110157</v>
      </c>
    </row>
    <row r="239" spans="1:5">
      <c r="A239" s="1">
        <v>43790</v>
      </c>
      <c r="B239" s="21">
        <v>142.468492</v>
      </c>
      <c r="C239" s="12">
        <v>120.737042</v>
      </c>
      <c r="D239" s="11">
        <v>121.891728</v>
      </c>
      <c r="E239" s="11">
        <v>142.71689256890119</v>
      </c>
    </row>
    <row r="240" spans="1:5">
      <c r="A240" s="1">
        <v>43791</v>
      </c>
      <c r="B240" s="21">
        <v>124.41567000000001</v>
      </c>
      <c r="C240" s="12">
        <v>122.42266400000001</v>
      </c>
      <c r="D240" s="11">
        <v>127.89</v>
      </c>
      <c r="E240" s="11">
        <v>143.21509120399878</v>
      </c>
    </row>
    <row r="241" spans="1:5">
      <c r="A241" s="1">
        <v>43792</v>
      </c>
      <c r="B241" s="21">
        <v>136.65514200000001</v>
      </c>
      <c r="C241" s="12">
        <v>122.91467799999999</v>
      </c>
      <c r="D241" s="11">
        <v>129.94999999999999</v>
      </c>
      <c r="E241" s="11">
        <v>141.42656401599945</v>
      </c>
    </row>
    <row r="242" spans="1:5">
      <c r="A242" s="1">
        <v>43793</v>
      </c>
      <c r="B242" s="21">
        <v>124.733034</v>
      </c>
      <c r="C242" s="12">
        <v>122.95859</v>
      </c>
      <c r="D242" s="11">
        <v>127.87</v>
      </c>
      <c r="E242" s="11">
        <v>141.76389125730097</v>
      </c>
    </row>
    <row r="243" spans="1:5">
      <c r="A243" s="1">
        <v>43794</v>
      </c>
      <c r="B243" s="21">
        <v>135.72</v>
      </c>
      <c r="C243" s="12">
        <v>121.978554</v>
      </c>
      <c r="D243" s="11">
        <v>121.74801600000001</v>
      </c>
      <c r="E243" s="11">
        <v>141.97876082899793</v>
      </c>
    </row>
    <row r="244" spans="1:5">
      <c r="A244" s="1">
        <v>43795</v>
      </c>
      <c r="B244" s="21">
        <v>135.86273</v>
      </c>
      <c r="C244" s="12">
        <v>124.469562</v>
      </c>
      <c r="D244" s="11">
        <v>132.42462</v>
      </c>
      <c r="E244" s="11">
        <v>144.78559871950372</v>
      </c>
    </row>
    <row r="245" spans="1:5">
      <c r="A245" s="1">
        <v>43796</v>
      </c>
      <c r="B245" s="21">
        <v>131.39568199999999</v>
      </c>
      <c r="C245" s="12">
        <v>117.750028</v>
      </c>
      <c r="D245" s="11">
        <v>125.946602</v>
      </c>
      <c r="E245" s="11">
        <v>144.06374041939898</v>
      </c>
    </row>
    <row r="246" spans="1:5">
      <c r="A246" s="1">
        <v>43797</v>
      </c>
      <c r="B246" s="21">
        <v>139.656128</v>
      </c>
      <c r="C246" s="12">
        <v>125.170158</v>
      </c>
      <c r="D246" s="11">
        <v>125.96</v>
      </c>
      <c r="E246" s="11">
        <v>142.78458420579881</v>
      </c>
    </row>
    <row r="247" spans="1:5">
      <c r="A247" s="1">
        <v>43798</v>
      </c>
      <c r="B247" s="21">
        <v>141.45452399999999</v>
      </c>
      <c r="C247" s="12">
        <v>125.691114</v>
      </c>
      <c r="D247" s="11">
        <v>128.33000000000001</v>
      </c>
      <c r="E247" s="11">
        <v>144.48516659060121</v>
      </c>
    </row>
    <row r="248" spans="1:5">
      <c r="A248" s="1">
        <v>43799</v>
      </c>
      <c r="B248" s="21">
        <v>136.00045399999999</v>
      </c>
      <c r="C248" s="12">
        <v>126.124246</v>
      </c>
      <c r="D248" s="11">
        <v>133.49048400000001</v>
      </c>
      <c r="E248" s="11">
        <v>142.26078415205919</v>
      </c>
    </row>
    <row r="249" spans="1:5">
      <c r="A249" s="1">
        <v>43800</v>
      </c>
      <c r="B249" s="21">
        <v>126.4231942736842</v>
      </c>
      <c r="C249" s="12">
        <v>127.124246</v>
      </c>
      <c r="D249" s="11">
        <v>116.95162800000001</v>
      </c>
      <c r="E249" s="11">
        <v>144.00775167519973</v>
      </c>
    </row>
    <row r="250" spans="1:5">
      <c r="A250" s="1">
        <v>43801</v>
      </c>
      <c r="B250" s="21">
        <v>136.38399999999999</v>
      </c>
      <c r="C250" s="12">
        <v>119.41968200000001</v>
      </c>
      <c r="D250" s="11">
        <v>132.52042800000001</v>
      </c>
      <c r="E250" s="11">
        <v>144.87423460789771</v>
      </c>
    </row>
    <row r="251" spans="1:5">
      <c r="A251" s="1">
        <v>43802</v>
      </c>
      <c r="B251" s="21">
        <v>122.68927863829786</v>
      </c>
      <c r="C251" s="12">
        <v>117.95561599999999</v>
      </c>
      <c r="D251" s="11">
        <v>129.61000000000001</v>
      </c>
      <c r="E251" s="11">
        <v>144.56619916370511</v>
      </c>
    </row>
    <row r="252" spans="1:5">
      <c r="A252" s="1">
        <v>43803</v>
      </c>
      <c r="B252" s="21">
        <v>125.3488</v>
      </c>
      <c r="C252" s="12">
        <v>130.76195200000001</v>
      </c>
      <c r="D252" s="11">
        <v>131.36873600000001</v>
      </c>
      <c r="E252" s="11">
        <v>144.17946108109504</v>
      </c>
    </row>
    <row r="253" spans="1:5">
      <c r="A253" s="1">
        <v>43804</v>
      </c>
      <c r="B253" s="21">
        <v>122.76597599999999</v>
      </c>
      <c r="C253" s="12">
        <v>94.54</v>
      </c>
      <c r="D253" s="11">
        <v>127.82</v>
      </c>
      <c r="E253" s="11">
        <v>143.60014711210505</v>
      </c>
    </row>
    <row r="254" spans="1:5">
      <c r="A254" s="1">
        <v>43805</v>
      </c>
      <c r="B254" s="21">
        <v>124.477546</v>
      </c>
      <c r="C254" s="12">
        <v>117.67</v>
      </c>
      <c r="D254" s="11">
        <v>127.72</v>
      </c>
      <c r="E254" s="11">
        <v>142.99874069279804</v>
      </c>
    </row>
    <row r="255" spans="1:5">
      <c r="A255" s="1">
        <v>43806</v>
      </c>
      <c r="B255" s="21">
        <v>126.053388</v>
      </c>
      <c r="C255" s="12">
        <v>24.35</v>
      </c>
      <c r="D255" s="11">
        <v>136.75893399999998</v>
      </c>
      <c r="E255" s="11">
        <v>143.79379517760097</v>
      </c>
    </row>
    <row r="256" spans="1:5">
      <c r="A256" s="1">
        <v>43807</v>
      </c>
      <c r="B256" s="21">
        <v>126.974542</v>
      </c>
      <c r="C256" s="12">
        <v>90.1</v>
      </c>
      <c r="D256" s="11">
        <v>119.12926399999999</v>
      </c>
      <c r="E256" s="11">
        <v>143.20875705199688</v>
      </c>
    </row>
    <row r="257" spans="1:5">
      <c r="A257" s="1">
        <v>43808</v>
      </c>
      <c r="B257" s="21">
        <v>120.465</v>
      </c>
      <c r="C257" s="12">
        <v>116.66</v>
      </c>
      <c r="D257" s="11">
        <v>130.34478799999999</v>
      </c>
      <c r="E257" s="11">
        <v>143.44348792370408</v>
      </c>
    </row>
    <row r="258" spans="1:5">
      <c r="A258" s="1">
        <v>43809</v>
      </c>
      <c r="B258" s="21">
        <v>120.045428</v>
      </c>
      <c r="C258" s="12">
        <v>102.08</v>
      </c>
      <c r="D258" s="11">
        <v>127.86</v>
      </c>
      <c r="E258" s="11">
        <v>141.6465235202983</v>
      </c>
    </row>
    <row r="259" spans="1:5">
      <c r="A259" s="1">
        <v>43810</v>
      </c>
      <c r="B259" s="21">
        <v>122.04043</v>
      </c>
      <c r="C259" s="12">
        <v>27.581726</v>
      </c>
      <c r="D259" s="11">
        <v>118.736052</v>
      </c>
      <c r="E259" s="11">
        <v>140.88723747799918</v>
      </c>
    </row>
    <row r="260" spans="1:5">
      <c r="A260" s="1">
        <v>43811</v>
      </c>
      <c r="B260" s="21">
        <v>118.68715</v>
      </c>
      <c r="C260" s="12">
        <v>0</v>
      </c>
      <c r="D260" s="11">
        <v>113.89</v>
      </c>
      <c r="E260" s="11">
        <v>140.33473096599803</v>
      </c>
    </row>
    <row r="261" spans="1:5">
      <c r="A261" s="1">
        <v>43812</v>
      </c>
      <c r="B261" s="21">
        <v>123.673158</v>
      </c>
      <c r="C261" s="12">
        <v>0</v>
      </c>
      <c r="D261" s="11">
        <v>119.41668800000001</v>
      </c>
      <c r="E261" s="11">
        <v>139.29004196060077</v>
      </c>
    </row>
    <row r="262" spans="1:5">
      <c r="A262" s="1">
        <v>43813</v>
      </c>
      <c r="B262" s="21">
        <v>124.736028</v>
      </c>
      <c r="C262" s="12">
        <v>56.04</v>
      </c>
      <c r="D262" s="11">
        <v>125.406684</v>
      </c>
      <c r="E262" s="11">
        <v>139.7054657802023</v>
      </c>
    </row>
    <row r="263" spans="1:5">
      <c r="A263" s="1">
        <v>43814</v>
      </c>
      <c r="B263" s="21">
        <v>134.34776599999998</v>
      </c>
      <c r="C263" s="12">
        <v>24.9</v>
      </c>
      <c r="D263" s="11">
        <v>121.119276</v>
      </c>
      <c r="E263" s="11">
        <v>139.8139124841988</v>
      </c>
    </row>
    <row r="264" spans="1:5">
      <c r="A264" s="1">
        <v>43815</v>
      </c>
      <c r="B264" s="21">
        <v>134.82</v>
      </c>
      <c r="C264" s="12">
        <v>0</v>
      </c>
      <c r="D264" s="11">
        <v>116.64125</v>
      </c>
      <c r="E264" s="11">
        <v>139.50955657540263</v>
      </c>
    </row>
    <row r="265" spans="1:5">
      <c r="A265" s="1">
        <v>43816</v>
      </c>
      <c r="B265" s="21">
        <v>129</v>
      </c>
      <c r="C265" s="12">
        <v>0</v>
      </c>
      <c r="D265" s="11">
        <v>115.61</v>
      </c>
      <c r="E265" s="11">
        <v>139.43703765959665</v>
      </c>
    </row>
    <row r="266" spans="1:5">
      <c r="A266" s="1">
        <v>43817</v>
      </c>
      <c r="B266" s="21">
        <v>120</v>
      </c>
      <c r="C266" s="12">
        <v>0</v>
      </c>
      <c r="D266" s="11">
        <v>117.98555599999999</v>
      </c>
      <c r="E266" s="11">
        <v>140.51422560949996</v>
      </c>
    </row>
    <row r="267" spans="1:5">
      <c r="A267" s="1">
        <v>43818</v>
      </c>
      <c r="B267" s="21">
        <v>132.7529273549832</v>
      </c>
      <c r="C267" s="12">
        <v>0</v>
      </c>
      <c r="D267" s="11">
        <v>114.7201</v>
      </c>
      <c r="E267" s="11">
        <v>139.82306909650191</v>
      </c>
    </row>
    <row r="268" spans="1:5">
      <c r="A268" s="1">
        <v>43819</v>
      </c>
      <c r="B268" s="21">
        <v>136.5</v>
      </c>
      <c r="C268" s="12">
        <v>0</v>
      </c>
      <c r="D268" s="11">
        <v>118.19</v>
      </c>
      <c r="E268" s="11">
        <v>139.72820430570096</v>
      </c>
    </row>
    <row r="269" spans="1:5">
      <c r="A269" s="1">
        <v>43820</v>
      </c>
      <c r="B269" s="21">
        <v>125.26</v>
      </c>
      <c r="C269" s="12">
        <v>0</v>
      </c>
      <c r="D269" s="11">
        <v>119.01349599999999</v>
      </c>
      <c r="E269" s="11">
        <v>139.02189932340011</v>
      </c>
    </row>
    <row r="270" spans="1:5">
      <c r="A270" s="1">
        <v>43821</v>
      </c>
      <c r="B270" s="21">
        <v>131.69</v>
      </c>
      <c r="C270" s="12">
        <v>0</v>
      </c>
      <c r="D270" s="11">
        <v>120.52846</v>
      </c>
      <c r="E270" s="11">
        <v>140.67370819829776</v>
      </c>
    </row>
    <row r="271" spans="1:5">
      <c r="A271" s="1">
        <v>43822</v>
      </c>
      <c r="B271" s="21">
        <v>124.47</v>
      </c>
      <c r="C271" s="12">
        <v>0</v>
      </c>
      <c r="D271" s="11">
        <v>117.03</v>
      </c>
      <c r="E271" s="11">
        <v>139.00353902659938</v>
      </c>
    </row>
    <row r="272" spans="1:5">
      <c r="A272" s="1">
        <v>43823</v>
      </c>
      <c r="B272" s="21">
        <v>133.32</v>
      </c>
      <c r="C272" s="12">
        <v>0</v>
      </c>
      <c r="D272" s="11">
        <v>122.96357999999999</v>
      </c>
      <c r="E272" s="11">
        <v>140.2574504170008</v>
      </c>
    </row>
    <row r="273" spans="1:5">
      <c r="A273" s="1">
        <v>43824</v>
      </c>
      <c r="B273" s="21">
        <v>135.496464</v>
      </c>
      <c r="C273" s="12">
        <v>0</v>
      </c>
      <c r="D273" s="11">
        <v>124.37674800000001</v>
      </c>
      <c r="E273" s="11">
        <v>140.93397623000294</v>
      </c>
    </row>
    <row r="274" spans="1:5">
      <c r="A274" s="1">
        <v>43825</v>
      </c>
      <c r="B274" s="21">
        <v>128.65899999999999</v>
      </c>
      <c r="C274" s="12">
        <v>0</v>
      </c>
      <c r="D274" s="11">
        <v>118.426672</v>
      </c>
      <c r="E274" s="11">
        <v>138.76496551499517</v>
      </c>
    </row>
    <row r="275" spans="1:5">
      <c r="A275" s="1">
        <v>43826</v>
      </c>
      <c r="B275" s="21">
        <v>128.56299999999999</v>
      </c>
      <c r="C275" s="12">
        <v>0</v>
      </c>
      <c r="D275" s="11">
        <v>119.85</v>
      </c>
      <c r="E275" s="11">
        <v>138.70684990570322</v>
      </c>
    </row>
    <row r="276" spans="1:5">
      <c r="A276" s="1">
        <v>43827</v>
      </c>
      <c r="B276" s="21">
        <v>132.51</v>
      </c>
      <c r="C276" s="12">
        <v>0</v>
      </c>
      <c r="D276" s="11">
        <v>115.69215200000001</v>
      </c>
      <c r="E276" s="11">
        <v>137.37416043880211</v>
      </c>
    </row>
    <row r="277" spans="1:5">
      <c r="A277" s="1">
        <v>43828</v>
      </c>
      <c r="B277" s="21">
        <v>129.19999999999999</v>
      </c>
      <c r="C277" s="12">
        <v>0</v>
      </c>
      <c r="D277" s="11">
        <v>118.518488</v>
      </c>
      <c r="E277" s="11">
        <v>139.2258070634976</v>
      </c>
    </row>
    <row r="278" spans="1:5">
      <c r="A278" s="1">
        <v>43829</v>
      </c>
      <c r="B278" s="21">
        <v>135.161</v>
      </c>
      <c r="C278" s="12">
        <v>0</v>
      </c>
      <c r="D278" s="11">
        <v>124.17016199999999</v>
      </c>
      <c r="E278" s="11">
        <v>138.93555203559995</v>
      </c>
    </row>
    <row r="279" spans="1:5">
      <c r="A279" s="1">
        <v>43830</v>
      </c>
      <c r="B279" s="21">
        <v>130.91265000000001</v>
      </c>
      <c r="C279" s="12">
        <v>0</v>
      </c>
      <c r="D279" s="11">
        <v>121.728056</v>
      </c>
      <c r="E279" s="11">
        <v>139.69514427839965</v>
      </c>
    </row>
    <row r="280" spans="1:5">
      <c r="A280" s="1">
        <v>43831</v>
      </c>
      <c r="B280" s="21">
        <v>120.27995799999999</v>
      </c>
      <c r="C280" s="12">
        <v>0</v>
      </c>
      <c r="D280" s="11">
        <v>125.11327200000001</v>
      </c>
      <c r="E280" s="24">
        <v>138.34788567649946</v>
      </c>
    </row>
    <row r="281" spans="1:5">
      <c r="A281" s="1">
        <v>43832</v>
      </c>
      <c r="B281" s="21">
        <v>115.539458</v>
      </c>
      <c r="C281" s="12">
        <v>0</v>
      </c>
      <c r="D281" s="11">
        <v>116.347838</v>
      </c>
      <c r="E281" s="24">
        <v>138.64983803649992</v>
      </c>
    </row>
    <row r="282" spans="1:5">
      <c r="A282" s="1">
        <v>43833</v>
      </c>
      <c r="B282" s="21">
        <v>122.77994799999999</v>
      </c>
      <c r="C282" s="12">
        <v>0</v>
      </c>
      <c r="D282" s="11">
        <v>126.1</v>
      </c>
      <c r="E282" s="24">
        <v>138.70491335659847</v>
      </c>
    </row>
    <row r="283" spans="1:5">
      <c r="A283" s="1">
        <v>43834</v>
      </c>
      <c r="B283" s="21">
        <v>121.58135</v>
      </c>
      <c r="C283" s="12">
        <v>0</v>
      </c>
      <c r="D283" s="11">
        <v>105.986602</v>
      </c>
      <c r="E283" s="24">
        <v>140.82027880775243</v>
      </c>
    </row>
    <row r="284" spans="1:5">
      <c r="A284" s="1">
        <v>43835</v>
      </c>
      <c r="B284" s="21">
        <v>117.93</v>
      </c>
      <c r="C284" s="12">
        <v>0</v>
      </c>
      <c r="D284" s="11">
        <v>115.67400654545456</v>
      </c>
      <c r="E284" s="24">
        <v>138.34365277509764</v>
      </c>
    </row>
    <row r="285" spans="1:5">
      <c r="A285" s="1">
        <v>43836</v>
      </c>
      <c r="B285" s="21">
        <v>109.41</v>
      </c>
      <c r="C285" s="12">
        <v>0</v>
      </c>
      <c r="D285" s="11">
        <v>106.091392</v>
      </c>
      <c r="E285" s="24">
        <v>138.70013016239926</v>
      </c>
    </row>
    <row r="286" spans="1:5">
      <c r="A286" s="1">
        <v>43837</v>
      </c>
      <c r="B286" s="21">
        <v>135.585286</v>
      </c>
      <c r="C286" s="12">
        <v>0</v>
      </c>
      <c r="D286" s="11">
        <v>102.1</v>
      </c>
      <c r="E286" s="24">
        <v>138.8731187928021</v>
      </c>
    </row>
    <row r="287" spans="1:5">
      <c r="A287" s="1">
        <v>43838</v>
      </c>
      <c r="B287" s="21">
        <v>130.191362133333</v>
      </c>
      <c r="C287" s="12">
        <v>0</v>
      </c>
      <c r="D287" s="11">
        <v>127.712064</v>
      </c>
      <c r="E287" s="24">
        <v>137.63164715740083</v>
      </c>
    </row>
    <row r="288" spans="1:5">
      <c r="A288" s="1">
        <v>43839</v>
      </c>
      <c r="B288" s="21">
        <v>116.61330599999999</v>
      </c>
      <c r="C288" s="12">
        <v>0</v>
      </c>
      <c r="D288" s="11">
        <v>115.372792</v>
      </c>
      <c r="E288" s="24">
        <v>138.12481639879942</v>
      </c>
    </row>
    <row r="289" spans="1:5">
      <c r="A289" s="1">
        <v>43840</v>
      </c>
      <c r="B289" s="21">
        <v>126.75</v>
      </c>
      <c r="C289" s="12">
        <v>0</v>
      </c>
      <c r="D289" s="11">
        <v>109.77</v>
      </c>
      <c r="E289" s="24">
        <v>138.06294949010015</v>
      </c>
    </row>
    <row r="290" spans="1:5">
      <c r="A290" s="1">
        <v>43841</v>
      </c>
      <c r="B290" s="21">
        <v>123.321</v>
      </c>
      <c r="C290" s="12">
        <v>0</v>
      </c>
      <c r="D290" s="11">
        <v>119.324872</v>
      </c>
      <c r="E290" s="24">
        <v>138.81960454439744</v>
      </c>
    </row>
    <row r="291" spans="1:5">
      <c r="A291" s="1">
        <v>43842</v>
      </c>
      <c r="B291" s="21">
        <v>107.73210399999999</v>
      </c>
      <c r="C291" s="12">
        <v>0</v>
      </c>
      <c r="D291" s="11">
        <v>114.885768</v>
      </c>
      <c r="E291" s="24">
        <v>136.99088283360376</v>
      </c>
    </row>
    <row r="292" spans="1:5">
      <c r="A292" s="1">
        <v>43843</v>
      </c>
      <c r="B292" s="21">
        <v>116.28</v>
      </c>
      <c r="C292" s="12">
        <v>0</v>
      </c>
      <c r="D292" s="11">
        <v>119.493534</v>
      </c>
      <c r="E292" s="24">
        <v>138.33657475719974</v>
      </c>
    </row>
    <row r="293" spans="1:5">
      <c r="A293" s="1">
        <v>43844</v>
      </c>
      <c r="B293" s="21">
        <v>114.17219799999999</v>
      </c>
      <c r="C293" s="12">
        <v>0</v>
      </c>
      <c r="D293" s="11">
        <v>114.85982</v>
      </c>
      <c r="E293" s="24">
        <v>137.91813029859961</v>
      </c>
    </row>
    <row r="294" spans="1:5">
      <c r="A294" s="1">
        <v>43845</v>
      </c>
      <c r="B294" s="21">
        <v>123.847808</v>
      </c>
      <c r="C294" s="12">
        <v>0</v>
      </c>
      <c r="D294" s="11">
        <v>18.613697999999999</v>
      </c>
      <c r="E294" s="24">
        <v>138.1316766526997</v>
      </c>
    </row>
    <row r="295" spans="1:5">
      <c r="A295" s="1">
        <v>43846</v>
      </c>
      <c r="B295" s="12">
        <v>130.804866</v>
      </c>
      <c r="C295" s="12">
        <v>114.68</v>
      </c>
      <c r="D295" s="11">
        <v>0</v>
      </c>
      <c r="E295" s="24">
        <v>137.21133366340027</v>
      </c>
    </row>
    <row r="296" spans="1:5">
      <c r="A296" s="1">
        <v>43847</v>
      </c>
      <c r="B296" s="12">
        <v>123.74701</v>
      </c>
      <c r="C296" s="12">
        <v>133.15815000000001</v>
      </c>
      <c r="D296" s="11">
        <v>0</v>
      </c>
      <c r="E296" s="24">
        <v>136.77055032599716</v>
      </c>
    </row>
    <row r="297" spans="1:5">
      <c r="A297" s="1">
        <v>43848</v>
      </c>
      <c r="B297" s="12">
        <v>109.587386</v>
      </c>
      <c r="C297" s="12">
        <v>133.50545399999999</v>
      </c>
      <c r="D297" s="11">
        <v>0</v>
      </c>
      <c r="E297" s="24">
        <v>136.84137278000637</v>
      </c>
    </row>
    <row r="298" spans="1:5">
      <c r="A298" s="1">
        <v>43849</v>
      </c>
      <c r="B298" s="12">
        <v>113.142262</v>
      </c>
      <c r="C298" s="12">
        <v>132.54</v>
      </c>
      <c r="D298" s="11">
        <v>0</v>
      </c>
      <c r="E298" s="24">
        <v>138.18762583769487</v>
      </c>
    </row>
    <row r="299" spans="1:5">
      <c r="A299" s="1">
        <v>43850</v>
      </c>
      <c r="B299" s="12">
        <v>119.98</v>
      </c>
      <c r="C299" s="12">
        <v>135.91662199999999</v>
      </c>
      <c r="D299" s="11">
        <v>0</v>
      </c>
      <c r="E299" s="24">
        <v>137.85045087930189</v>
      </c>
    </row>
    <row r="300" spans="1:5">
      <c r="A300" s="1">
        <v>43851</v>
      </c>
      <c r="B300" s="12">
        <v>119.693134</v>
      </c>
      <c r="C300" s="12">
        <v>132.43959000000001</v>
      </c>
      <c r="D300" s="11">
        <v>0</v>
      </c>
      <c r="E300" s="24">
        <v>137.46214701540023</v>
      </c>
    </row>
    <row r="301" spans="1:5">
      <c r="A301" s="1">
        <v>43852</v>
      </c>
      <c r="B301" s="12">
        <v>126.44859599999999</v>
      </c>
      <c r="C301" s="12">
        <v>130.52243199999998</v>
      </c>
      <c r="D301" s="11">
        <v>0</v>
      </c>
      <c r="E301" s="24">
        <v>138.61059341698757</v>
      </c>
    </row>
    <row r="302" spans="1:5">
      <c r="A302" s="1">
        <v>43853</v>
      </c>
      <c r="B302" s="12">
        <v>125.316864</v>
      </c>
      <c r="C302" s="12">
        <v>138.698048</v>
      </c>
      <c r="D302" s="11">
        <v>0</v>
      </c>
      <c r="E302" s="24">
        <v>135.87376867879928</v>
      </c>
    </row>
    <row r="303" spans="1:5">
      <c r="A303" s="1">
        <v>43854</v>
      </c>
      <c r="B303" s="12">
        <v>131.89368399999998</v>
      </c>
      <c r="C303" s="12">
        <v>30.866144000000002</v>
      </c>
      <c r="D303" s="11">
        <v>0</v>
      </c>
      <c r="E303" s="24">
        <v>138.14667679709942</v>
      </c>
    </row>
    <row r="304" spans="1:5">
      <c r="A304" s="1">
        <v>43855</v>
      </c>
      <c r="B304" s="12">
        <v>123.314876</v>
      </c>
      <c r="C304" s="12">
        <v>0</v>
      </c>
      <c r="D304" s="11">
        <v>0</v>
      </c>
      <c r="E304" s="24">
        <v>136.71946677450092</v>
      </c>
    </row>
    <row r="305" spans="1:5">
      <c r="A305" s="1">
        <v>43856</v>
      </c>
      <c r="B305" s="12">
        <v>130.30985799999999</v>
      </c>
      <c r="C305" s="12">
        <v>0</v>
      </c>
      <c r="D305" s="11">
        <v>102.602384</v>
      </c>
      <c r="E305" s="24">
        <v>131.86126734590158</v>
      </c>
    </row>
    <row r="306" spans="1:5">
      <c r="A306" s="1">
        <v>43857</v>
      </c>
      <c r="B306" s="12">
        <v>129.136</v>
      </c>
      <c r="C306" s="12">
        <v>0</v>
      </c>
      <c r="D306" s="11">
        <v>126.214066</v>
      </c>
      <c r="E306" s="24">
        <v>136.84716745809837</v>
      </c>
    </row>
    <row r="307" spans="1:5">
      <c r="A307" s="1">
        <v>43858</v>
      </c>
      <c r="B307" s="12">
        <v>121.679154</v>
      </c>
      <c r="C307" s="12">
        <v>0</v>
      </c>
      <c r="D307" s="11">
        <v>123.8</v>
      </c>
      <c r="E307" s="24">
        <v>136.06714313470201</v>
      </c>
    </row>
    <row r="308" spans="1:5">
      <c r="A308" s="1">
        <v>43859</v>
      </c>
      <c r="B308" s="12">
        <v>110.60834</v>
      </c>
      <c r="C308" s="12">
        <v>63.77</v>
      </c>
      <c r="D308" s="11">
        <v>108.257052</v>
      </c>
      <c r="E308" s="24">
        <v>137.334</v>
      </c>
    </row>
    <row r="309" spans="1:5">
      <c r="A309" s="1">
        <v>43860</v>
      </c>
      <c r="B309" s="12">
        <v>114.19615</v>
      </c>
      <c r="C309" s="12">
        <v>135.16999999999999</v>
      </c>
      <c r="D309" s="11">
        <v>21.306301999999999</v>
      </c>
      <c r="E309" s="24">
        <v>140.88865799999999</v>
      </c>
    </row>
    <row r="310" spans="1:5">
      <c r="A310" s="1">
        <v>43861</v>
      </c>
      <c r="B310" s="12">
        <v>105.97961599999999</v>
      </c>
      <c r="C310" s="12">
        <v>30.000878</v>
      </c>
      <c r="D310" s="11">
        <v>0</v>
      </c>
      <c r="E310" s="24">
        <v>131.65216799999999</v>
      </c>
    </row>
    <row r="311" spans="1:5">
      <c r="A311" s="1">
        <v>43862</v>
      </c>
      <c r="B311" s="12">
        <v>112.98657399999999</v>
      </c>
      <c r="C311" s="12">
        <v>0</v>
      </c>
      <c r="D311" s="11">
        <v>0</v>
      </c>
      <c r="E311" s="24">
        <v>133.88340922994615</v>
      </c>
    </row>
    <row r="312" spans="1:5">
      <c r="A312" s="1">
        <v>43863</v>
      </c>
      <c r="B312" s="12">
        <v>126.90468200000001</v>
      </c>
      <c r="C312" s="12">
        <v>0</v>
      </c>
      <c r="D312" s="11">
        <v>0</v>
      </c>
      <c r="E312" s="24">
        <v>25.017895165398716</v>
      </c>
    </row>
    <row r="313" spans="1:5">
      <c r="A313" s="1">
        <v>43864</v>
      </c>
      <c r="B313" s="12">
        <v>119.06139999999999</v>
      </c>
      <c r="C313" s="12">
        <v>0</v>
      </c>
      <c r="D313" s="11">
        <v>0</v>
      </c>
      <c r="E313" s="24">
        <v>0</v>
      </c>
    </row>
    <row r="314" spans="1:5">
      <c r="A314" s="1">
        <v>43865</v>
      </c>
      <c r="B314" s="12">
        <v>75.688320000000004</v>
      </c>
      <c r="C314" s="12">
        <v>0</v>
      </c>
      <c r="D314" s="11">
        <v>0</v>
      </c>
      <c r="E314" s="24">
        <v>0</v>
      </c>
    </row>
    <row r="315" spans="1:5">
      <c r="A315" s="1">
        <v>43866</v>
      </c>
      <c r="B315" s="12">
        <v>56.058658000000001</v>
      </c>
      <c r="C315" s="12">
        <v>0</v>
      </c>
      <c r="D315" s="11">
        <v>93.52</v>
      </c>
      <c r="E315" s="24">
        <v>0</v>
      </c>
    </row>
    <row r="316" spans="1:5">
      <c r="A316" s="1">
        <v>43867</v>
      </c>
      <c r="B316" s="12">
        <v>57.171427999999999</v>
      </c>
      <c r="C316" s="12">
        <v>0</v>
      </c>
      <c r="D316" s="11">
        <v>30.136606</v>
      </c>
      <c r="E316" s="24">
        <v>0</v>
      </c>
    </row>
    <row r="317" spans="1:5">
      <c r="A317" s="1">
        <v>43868</v>
      </c>
      <c r="B317" s="12">
        <v>59.464832000000001</v>
      </c>
      <c r="C317" s="12">
        <v>0</v>
      </c>
      <c r="D317" s="11">
        <v>0</v>
      </c>
      <c r="E317" s="24">
        <v>0</v>
      </c>
    </row>
    <row r="318" spans="1:5">
      <c r="A318" s="1">
        <v>43869</v>
      </c>
      <c r="B318" s="12">
        <v>64.127488</v>
      </c>
      <c r="C318" s="12">
        <v>0</v>
      </c>
      <c r="D318" s="11">
        <v>0</v>
      </c>
      <c r="E318" s="24">
        <v>0</v>
      </c>
    </row>
    <row r="319" spans="1:5">
      <c r="A319" s="1">
        <v>43870</v>
      </c>
      <c r="B319" s="12">
        <v>57.118533999999997</v>
      </c>
      <c r="C319" s="12">
        <v>0</v>
      </c>
      <c r="D319" s="11">
        <v>0</v>
      </c>
      <c r="E319" s="24">
        <v>0</v>
      </c>
    </row>
    <row r="320" spans="1:5">
      <c r="A320" s="1">
        <v>43871</v>
      </c>
      <c r="B320" s="12">
        <v>63.51</v>
      </c>
      <c r="C320" s="12">
        <v>0</v>
      </c>
      <c r="D320" s="11">
        <v>0</v>
      </c>
      <c r="E320" s="24">
        <v>0</v>
      </c>
    </row>
    <row r="321" spans="1:5">
      <c r="A321" s="1">
        <v>43872</v>
      </c>
      <c r="B321" s="12">
        <v>62.828091999999998</v>
      </c>
      <c r="C321" s="12">
        <v>0</v>
      </c>
      <c r="D321" s="11">
        <v>0</v>
      </c>
      <c r="E321" s="24">
        <v>0</v>
      </c>
    </row>
    <row r="322" spans="1:5">
      <c r="A322" s="1">
        <v>43873</v>
      </c>
      <c r="B322" s="12">
        <v>60.167423999999997</v>
      </c>
      <c r="C322" s="12">
        <v>0</v>
      </c>
      <c r="D322" s="11">
        <v>0</v>
      </c>
      <c r="E322" s="24">
        <v>0</v>
      </c>
    </row>
    <row r="323" spans="1:5">
      <c r="A323" s="1">
        <v>43874</v>
      </c>
      <c r="B323" s="12">
        <v>16.760000000000002</v>
      </c>
      <c r="C323" s="12">
        <v>0</v>
      </c>
      <c r="D323" s="11">
        <v>0</v>
      </c>
      <c r="E323" s="24">
        <v>0</v>
      </c>
    </row>
    <row r="324" spans="1:5">
      <c r="A324" s="1">
        <v>43875</v>
      </c>
      <c r="B324" s="12">
        <v>0</v>
      </c>
      <c r="C324" s="12">
        <v>0</v>
      </c>
      <c r="D324" s="11">
        <v>0</v>
      </c>
      <c r="E324" s="24">
        <v>0</v>
      </c>
    </row>
    <row r="325" spans="1:5">
      <c r="A325" s="1">
        <v>43876</v>
      </c>
      <c r="B325" s="12">
        <v>0</v>
      </c>
      <c r="C325" s="12">
        <v>0</v>
      </c>
      <c r="D325" s="11">
        <v>0</v>
      </c>
      <c r="E325" s="24">
        <v>0</v>
      </c>
    </row>
    <row r="326" spans="1:5">
      <c r="A326" s="1">
        <v>43877</v>
      </c>
      <c r="B326" s="12">
        <v>0</v>
      </c>
      <c r="C326" s="12">
        <v>0</v>
      </c>
      <c r="D326" s="11">
        <v>0</v>
      </c>
      <c r="E326" s="24">
        <v>0</v>
      </c>
    </row>
    <row r="327" spans="1:5">
      <c r="A327" s="1">
        <v>43878</v>
      </c>
      <c r="B327" s="12">
        <v>0</v>
      </c>
      <c r="C327" s="12">
        <v>0</v>
      </c>
      <c r="D327" s="11">
        <v>0</v>
      </c>
      <c r="E327" s="24">
        <v>0</v>
      </c>
    </row>
    <row r="328" spans="1:5">
      <c r="A328" s="1">
        <v>43879</v>
      </c>
      <c r="B328" s="12">
        <v>0</v>
      </c>
      <c r="C328" s="12">
        <v>0</v>
      </c>
      <c r="D328" s="11">
        <v>0</v>
      </c>
      <c r="E328" s="24">
        <v>0</v>
      </c>
    </row>
    <row r="329" spans="1:5">
      <c r="A329" s="1">
        <v>43880</v>
      </c>
      <c r="B329" s="12">
        <v>0</v>
      </c>
      <c r="C329" s="12">
        <v>0</v>
      </c>
      <c r="D329" s="11">
        <v>0</v>
      </c>
      <c r="E329" s="24">
        <v>0</v>
      </c>
    </row>
    <row r="330" spans="1:5">
      <c r="A330" s="1">
        <v>43881</v>
      </c>
      <c r="B330" s="12">
        <v>0</v>
      </c>
      <c r="C330" s="21">
        <v>0</v>
      </c>
      <c r="D330" s="11">
        <v>0</v>
      </c>
      <c r="E330" s="24">
        <v>0</v>
      </c>
    </row>
    <row r="331" spans="1:5">
      <c r="A331" s="1">
        <v>43882</v>
      </c>
      <c r="B331" s="12">
        <v>0</v>
      </c>
      <c r="C331" s="25">
        <v>0</v>
      </c>
      <c r="D331" s="11">
        <v>0</v>
      </c>
      <c r="E331" s="24">
        <v>0</v>
      </c>
    </row>
    <row r="332" spans="1:5">
      <c r="A332" s="1">
        <v>43883</v>
      </c>
      <c r="B332" s="12">
        <v>0</v>
      </c>
      <c r="C332" s="25">
        <v>0</v>
      </c>
      <c r="D332" s="11">
        <v>0</v>
      </c>
      <c r="E332" s="24">
        <v>0</v>
      </c>
    </row>
    <row r="333" spans="1:5">
      <c r="A333" s="1">
        <v>43884</v>
      </c>
      <c r="B333" s="12">
        <v>0</v>
      </c>
      <c r="C333" s="25">
        <v>0</v>
      </c>
      <c r="D333" s="11">
        <v>120.92965599999999</v>
      </c>
      <c r="E333" s="24">
        <v>0</v>
      </c>
    </row>
    <row r="334" spans="1:5">
      <c r="A334" s="1">
        <v>43885</v>
      </c>
      <c r="B334" s="12">
        <v>0</v>
      </c>
      <c r="C334" s="25">
        <v>0</v>
      </c>
      <c r="D334" s="11">
        <v>138.91960400000002</v>
      </c>
      <c r="E334" s="24">
        <v>0</v>
      </c>
    </row>
    <row r="335" spans="1:5">
      <c r="A335" s="1">
        <v>43886</v>
      </c>
      <c r="B335" s="12">
        <v>0</v>
      </c>
      <c r="C335" s="25">
        <v>105.913748</v>
      </c>
      <c r="D335" s="11">
        <v>138.11721199999999</v>
      </c>
      <c r="E335" s="24">
        <v>0</v>
      </c>
    </row>
    <row r="336" spans="1:5">
      <c r="A336" s="1">
        <v>43887</v>
      </c>
      <c r="B336" s="12">
        <v>0</v>
      </c>
      <c r="C336" s="25">
        <v>138.13417799999999</v>
      </c>
      <c r="D336" s="11">
        <v>133.03140400000001</v>
      </c>
      <c r="E336" s="24">
        <v>0</v>
      </c>
    </row>
    <row r="337" spans="1:5">
      <c r="A337" s="1">
        <v>43888</v>
      </c>
      <c r="B337" s="12">
        <v>0</v>
      </c>
      <c r="C337" s="25">
        <v>129.68211600000001</v>
      </c>
      <c r="D337" s="11">
        <v>28.352181999999999</v>
      </c>
      <c r="E337" s="24">
        <v>0</v>
      </c>
    </row>
    <row r="338" spans="1:5">
      <c r="A338" s="1">
        <v>43889</v>
      </c>
      <c r="B338" s="12">
        <v>0</v>
      </c>
      <c r="C338" s="25">
        <v>47.135539999999999</v>
      </c>
      <c r="D338" s="11">
        <v>0</v>
      </c>
      <c r="E338" s="24">
        <v>0</v>
      </c>
    </row>
    <row r="339" spans="1:5">
      <c r="A339" s="1">
        <v>43890</v>
      </c>
      <c r="B339" s="12">
        <v>0</v>
      </c>
      <c r="C339" s="25">
        <v>0</v>
      </c>
      <c r="D339" s="12"/>
      <c r="E339" s="12">
        <v>0</v>
      </c>
    </row>
    <row r="340" spans="1:5">
      <c r="A340" s="1">
        <v>43891</v>
      </c>
      <c r="B340" s="12">
        <v>0</v>
      </c>
      <c r="C340" s="25">
        <v>0</v>
      </c>
      <c r="D340" s="11">
        <v>121.387738</v>
      </c>
      <c r="E340" s="24">
        <v>0</v>
      </c>
    </row>
    <row r="341" spans="1:5">
      <c r="A341" s="1">
        <v>43892</v>
      </c>
      <c r="B341" s="12">
        <v>0</v>
      </c>
      <c r="C341" s="25">
        <v>0</v>
      </c>
      <c r="D341" s="11">
        <v>132.45356200000001</v>
      </c>
      <c r="E341" s="24">
        <v>0</v>
      </c>
    </row>
    <row r="342" spans="1:5">
      <c r="A342" s="1">
        <v>43893</v>
      </c>
      <c r="B342" s="12">
        <v>0</v>
      </c>
      <c r="C342" s="25">
        <v>0</v>
      </c>
      <c r="D342" s="11">
        <v>135.41163399999999</v>
      </c>
      <c r="E342" s="24">
        <v>0</v>
      </c>
    </row>
    <row r="343" spans="1:5">
      <c r="A343" s="1">
        <v>43894</v>
      </c>
      <c r="B343" s="12">
        <v>0</v>
      </c>
      <c r="C343" s="25">
        <v>0</v>
      </c>
      <c r="D343" s="11">
        <v>25.720455999999999</v>
      </c>
      <c r="E343" s="24">
        <v>0</v>
      </c>
    </row>
    <row r="344" spans="1:5">
      <c r="A344" s="1">
        <v>43895</v>
      </c>
      <c r="B344" s="12">
        <v>0</v>
      </c>
      <c r="C344" s="25">
        <v>0</v>
      </c>
      <c r="D344" s="11">
        <v>0</v>
      </c>
      <c r="E344" s="24">
        <v>0</v>
      </c>
    </row>
    <row r="345" spans="1:5">
      <c r="A345" s="1">
        <v>43896</v>
      </c>
      <c r="B345" s="12">
        <v>0</v>
      </c>
      <c r="C345" s="25">
        <v>0</v>
      </c>
      <c r="D345" s="11">
        <v>0</v>
      </c>
      <c r="E345" s="24">
        <v>0</v>
      </c>
    </row>
    <row r="346" spans="1:5">
      <c r="A346" s="1">
        <v>43897</v>
      </c>
      <c r="B346" s="12">
        <v>0</v>
      </c>
      <c r="C346" s="25">
        <v>0</v>
      </c>
      <c r="D346" s="11">
        <v>0</v>
      </c>
      <c r="E346" s="24">
        <v>0</v>
      </c>
    </row>
    <row r="347" spans="1:5">
      <c r="A347" s="1">
        <v>43898</v>
      </c>
      <c r="B347" s="12">
        <v>0</v>
      </c>
      <c r="C347" s="25">
        <v>0</v>
      </c>
      <c r="D347" s="11">
        <v>0</v>
      </c>
      <c r="E347" s="24">
        <v>0</v>
      </c>
    </row>
    <row r="348" spans="1:5">
      <c r="A348" s="1">
        <v>43899</v>
      </c>
      <c r="B348" s="12">
        <v>0</v>
      </c>
      <c r="C348" s="25">
        <v>0</v>
      </c>
      <c r="D348" s="11">
        <v>0</v>
      </c>
      <c r="E348" s="24">
        <v>0</v>
      </c>
    </row>
    <row r="349" spans="1:5">
      <c r="A349" s="1">
        <v>43900</v>
      </c>
      <c r="B349" s="12">
        <v>0</v>
      </c>
      <c r="C349" s="25">
        <v>0</v>
      </c>
      <c r="D349" s="11">
        <v>0</v>
      </c>
      <c r="E349" s="24">
        <v>0</v>
      </c>
    </row>
    <row r="350" spans="1:5">
      <c r="A350" s="1">
        <v>43901</v>
      </c>
      <c r="B350" s="12">
        <v>0</v>
      </c>
      <c r="C350" s="25">
        <v>0</v>
      </c>
      <c r="D350" s="11">
        <v>0</v>
      </c>
      <c r="E350" s="24">
        <v>0</v>
      </c>
    </row>
    <row r="351" spans="1:5">
      <c r="A351" s="1">
        <v>43902</v>
      </c>
      <c r="B351" s="12">
        <v>0</v>
      </c>
      <c r="C351" s="25">
        <v>0</v>
      </c>
      <c r="D351" s="11">
        <v>0</v>
      </c>
      <c r="E351" s="24">
        <v>0</v>
      </c>
    </row>
    <row r="352" spans="1:5">
      <c r="A352" s="1">
        <v>43903</v>
      </c>
      <c r="B352" s="12">
        <v>0</v>
      </c>
      <c r="C352" s="25">
        <v>0</v>
      </c>
      <c r="D352" s="11">
        <v>0</v>
      </c>
      <c r="E352" s="24">
        <v>0</v>
      </c>
    </row>
    <row r="353" spans="1:5">
      <c r="A353" s="1">
        <v>43904</v>
      </c>
      <c r="B353" s="12">
        <v>0</v>
      </c>
      <c r="C353" s="25">
        <v>0</v>
      </c>
      <c r="D353" s="11">
        <v>0</v>
      </c>
      <c r="E353" s="24">
        <v>0</v>
      </c>
    </row>
    <row r="354" spans="1:5">
      <c r="A354" s="1">
        <v>43905</v>
      </c>
      <c r="B354" s="12">
        <v>0</v>
      </c>
      <c r="C354" s="25">
        <v>0</v>
      </c>
      <c r="D354" s="11">
        <v>0</v>
      </c>
      <c r="E354" s="24">
        <v>0</v>
      </c>
    </row>
    <row r="355" spans="1:5">
      <c r="A355" s="1">
        <v>43906</v>
      </c>
      <c r="B355" s="12">
        <v>0</v>
      </c>
      <c r="C355" s="25">
        <v>0</v>
      </c>
      <c r="D355" s="11">
        <v>0</v>
      </c>
      <c r="E355" s="24">
        <v>0</v>
      </c>
    </row>
    <row r="356" spans="1:5">
      <c r="A356" s="1">
        <v>43907</v>
      </c>
      <c r="B356" s="12">
        <v>0</v>
      </c>
      <c r="C356" s="25">
        <v>0</v>
      </c>
      <c r="D356" s="11">
        <v>0</v>
      </c>
      <c r="E356" s="24">
        <v>107.04556031560153</v>
      </c>
    </row>
    <row r="357" spans="1:5">
      <c r="A357" s="1">
        <v>43908</v>
      </c>
      <c r="B357" s="12">
        <v>0</v>
      </c>
      <c r="C357" s="25">
        <v>0</v>
      </c>
      <c r="D357" s="11">
        <v>0</v>
      </c>
      <c r="E357" s="24">
        <v>131.51732802319898</v>
      </c>
    </row>
    <row r="358" spans="1:5">
      <c r="A358" s="1">
        <v>43909</v>
      </c>
      <c r="B358" s="12">
        <v>0</v>
      </c>
      <c r="C358" s="25">
        <v>0</v>
      </c>
      <c r="D358" s="11">
        <v>0</v>
      </c>
      <c r="E358" s="24">
        <v>133.86160419849679</v>
      </c>
    </row>
    <row r="359" spans="1:5">
      <c r="A359" s="1">
        <v>43910</v>
      </c>
      <c r="B359" s="12">
        <v>0</v>
      </c>
      <c r="C359" s="25">
        <v>0</v>
      </c>
      <c r="D359" s="11">
        <v>0</v>
      </c>
      <c r="E359" s="24">
        <v>133.23195600890369</v>
      </c>
    </row>
    <row r="360" spans="1:5">
      <c r="A360" s="1">
        <v>43911</v>
      </c>
      <c r="B360" s="12">
        <v>0</v>
      </c>
      <c r="C360" s="25">
        <v>75.843010000000007</v>
      </c>
      <c r="D360" s="11">
        <v>0</v>
      </c>
      <c r="E360" s="24">
        <v>134.23324985519795</v>
      </c>
    </row>
    <row r="361" spans="1:5">
      <c r="A361" s="1">
        <v>43912</v>
      </c>
      <c r="B361" s="12">
        <v>0</v>
      </c>
      <c r="C361" s="25">
        <v>129.747984</v>
      </c>
      <c r="D361" s="11">
        <v>0</v>
      </c>
      <c r="E361" s="24">
        <v>32.805854398399589</v>
      </c>
    </row>
    <row r="362" spans="1:5">
      <c r="A362" s="1">
        <v>43913</v>
      </c>
      <c r="B362" s="12">
        <v>0</v>
      </c>
      <c r="C362" s="25">
        <v>118.07238199999999</v>
      </c>
      <c r="D362" s="11">
        <v>0</v>
      </c>
      <c r="E362" s="24">
        <v>0</v>
      </c>
    </row>
    <row r="363" spans="1:5">
      <c r="A363" s="1">
        <v>43914</v>
      </c>
      <c r="B363" s="12">
        <v>0</v>
      </c>
      <c r="C363" s="25">
        <v>116.692148</v>
      </c>
      <c r="D363" s="11">
        <v>0</v>
      </c>
      <c r="E363" s="24">
        <v>0</v>
      </c>
    </row>
    <row r="364" spans="1:5">
      <c r="A364" s="1">
        <v>43915</v>
      </c>
      <c r="B364" s="12">
        <v>0</v>
      </c>
      <c r="C364" s="25">
        <v>137.11051974193546</v>
      </c>
      <c r="D364" s="11">
        <v>0</v>
      </c>
      <c r="E364" s="24">
        <v>71.573634519897396</v>
      </c>
    </row>
    <row r="365" spans="1:5">
      <c r="A365" s="1">
        <v>43916</v>
      </c>
      <c r="B365" s="12">
        <v>0</v>
      </c>
      <c r="C365" s="25">
        <v>22.84</v>
      </c>
      <c r="D365" s="11">
        <v>0</v>
      </c>
      <c r="E365" s="24">
        <v>124.1217967981312</v>
      </c>
    </row>
    <row r="366" spans="1:5">
      <c r="A366" s="1">
        <v>43917</v>
      </c>
      <c r="B366" s="12">
        <v>0</v>
      </c>
      <c r="C366" s="25">
        <v>0</v>
      </c>
      <c r="D366" s="11">
        <v>64.36</v>
      </c>
      <c r="E366" s="24">
        <v>125.64974091003238</v>
      </c>
    </row>
    <row r="367" spans="1:5">
      <c r="A367" s="1">
        <v>43918</v>
      </c>
      <c r="B367" s="12">
        <v>0</v>
      </c>
      <c r="C367" s="25">
        <v>0</v>
      </c>
      <c r="D367" s="11">
        <v>141.4</v>
      </c>
      <c r="E367" s="24">
        <v>132.3451573753506</v>
      </c>
    </row>
    <row r="368" spans="1:5">
      <c r="A368" s="1">
        <v>43919</v>
      </c>
      <c r="B368" s="12">
        <v>0</v>
      </c>
      <c r="C368" s="25">
        <v>0</v>
      </c>
      <c r="D368" s="11">
        <v>135.49746200000001</v>
      </c>
      <c r="E368" s="24">
        <v>46.381453281801193</v>
      </c>
    </row>
    <row r="369" spans="1:5">
      <c r="A369" s="1">
        <v>43920</v>
      </c>
      <c r="B369" s="12">
        <v>0</v>
      </c>
      <c r="C369" s="25">
        <v>0</v>
      </c>
      <c r="D369" s="11">
        <v>132.002466</v>
      </c>
      <c r="E369" s="24">
        <v>0</v>
      </c>
    </row>
    <row r="370" spans="1:5">
      <c r="A370" s="1">
        <v>43921</v>
      </c>
      <c r="B370" s="1"/>
      <c r="C370" s="25">
        <v>0</v>
      </c>
      <c r="D370" s="11">
        <v>137.387674</v>
      </c>
      <c r="E370" s="24">
        <v>0</v>
      </c>
    </row>
    <row r="371" spans="1:5">
      <c r="D371" s="11"/>
    </row>
    <row r="373" spans="1:5">
      <c r="B373">
        <f>AVERAGEA(B5:B370)</f>
        <v>70.634302938271361</v>
      </c>
      <c r="C373">
        <f>AVERAGEA(C5:C370)</f>
        <v>57.795112516613578</v>
      </c>
      <c r="D373">
        <f>AVERAGEA(D5:D370)</f>
        <v>66.942864950787566</v>
      </c>
      <c r="E373">
        <f>AVERAGEA(E5:E370)</f>
        <v>102.64129671567675</v>
      </c>
    </row>
    <row r="379" spans="1:5">
      <c r="A379" t="s">
        <v>9</v>
      </c>
    </row>
    <row r="380" spans="1:5">
      <c r="A380" t="s">
        <v>10</v>
      </c>
    </row>
    <row r="522" spans="1:6">
      <c r="A522" s="1"/>
      <c r="B522" s="1"/>
      <c r="C522" s="1"/>
      <c r="F522" s="1"/>
    </row>
    <row r="523" spans="1:6">
      <c r="A523" s="1"/>
      <c r="B523" s="1"/>
      <c r="C523" s="1"/>
      <c r="D523" s="1"/>
      <c r="E523" s="1"/>
      <c r="F523" s="1"/>
    </row>
  </sheetData>
  <mergeCells count="5">
    <mergeCell ref="C3:C4"/>
    <mergeCell ref="B3:B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2026-08-12T08:03:29Z</dcterms:created>
  <dcterms:modified xsi:type="dcterms:W3CDTF">2026-08-14T05:25:45Z</dcterms:modified>
  <cp:category/>
  <cp:contentStatus/>
</cp:coreProperties>
</file>